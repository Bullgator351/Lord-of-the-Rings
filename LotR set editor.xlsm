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24226"/>
  <mc:AlternateContent xmlns:mc="http://schemas.openxmlformats.org/markup-compatibility/2006">
    <mc:Choice Requires="x15">
      <x15ac:absPath xmlns:x15ac="http://schemas.microsoft.com/office/spreadsheetml/2010/11/ac" url="C:\Users\Chris\Documents\GitHub\Lord-of-the-Rings\"/>
    </mc:Choice>
  </mc:AlternateContent>
  <xr:revisionPtr revIDLastSave="0" documentId="13_ncr:1_{A0765165-273A-4602-B43C-27C4BD8EE59F}" xr6:coauthVersionLast="40" xr6:coauthVersionMax="40" xr10:uidLastSave="{00000000-0000-0000-0000-000000000000}"/>
  <bookViews>
    <workbookView xWindow="28680" yWindow="-120" windowWidth="29040" windowHeight="15840" firstSheet="3" activeTab="4" xr2:uid="{00000000-000D-0000-FFFF-FFFF00000000}"/>
  </bookViews>
  <sheets>
    <sheet name="Import" sheetId="1" state="hidden" r:id="rId1"/>
    <sheet name="IDS" sheetId="3" state="hidden" r:id="rId2"/>
    <sheet name="Imported Data" sheetId="6" state="hidden" r:id="rId3"/>
    <sheet name="Sets" sheetId="7" r:id="rId4"/>
    <sheet name="Card Data" sheetId="10" r:id="rId5"/>
    <sheet name="Special Characters" sheetId="9" r:id="rId6"/>
  </sheets>
  <functionGroups builtInGroupCount="19"/>
  <definedNames>
    <definedName name="GameGUID">Sets!$A$1</definedName>
    <definedName name="GameVersion">Sets!$C$1</definedName>
  </definedNames>
  <calcPr calcId="191029"/>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<sst xmlns="http://schemas.openxmlformats.org/spreadsheetml/2006/main" count="1729" uniqueCount="488">
  <si>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</si>
  <si>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</si>
  <si>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</si>
  <si>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</si>
  <si>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</si>
  <si>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</si>
  <si>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</si>
  <si>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</si>
  <si>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</si>
  <si>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</si>
  <si>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</si>
  <si>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</si>
  <si>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</si>
  <si>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</si>
  <si>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</si>
  <si>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</si>
  <si>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</si>
  <si>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</si>
  <si>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</si>
  <si>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</si>
  <si>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</si>
  <si>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</si>
  <si>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</si>
  <si>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</si>
  <si>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</si>
  <si>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</si>
  <si>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</si>
  <si>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</si>
  <si>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</si>
  <si>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</si>
  <si>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</si>
  <si>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</si>
  <si>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</si>
  <si>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</si>
  <si>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</si>
  <si>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</si>
  <si>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</si>
  <si>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</si>
  <si>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</si>
  <si>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</si>
  <si>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</si>
  <si>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</si>
  <si>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</si>
  <si>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</si>
  <si>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</si>
  <si>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</si>
  <si>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</si>
  <si>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</si>
  <si>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</si>
  <si>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</si>
  <si>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</si>
  <si>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</si>
  <si>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</si>
  <si>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</si>
  <si>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</si>
  <si>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</si>
  <si>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</si>
  <si>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</si>
  <si>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</si>
  <si>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</si>
  <si>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</si>
  <si>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</si>
  <si>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</si>
  <si>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</si>
  <si>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</si>
  <si>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</si>
  <si>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</si>
  <si>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</si>
  <si>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</si>
  <si>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</si>
  <si>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</si>
  <si>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</si>
  <si>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</si>
  <si>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</si>
  <si>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</si>
  <si>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</si>
  <si>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</si>
  <si>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</si>
  <si>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</si>
  <si>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</si>
  <si>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</si>
  <si>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</si>
  <si>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</si>
  <si>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</si>
  <si>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</si>
  <si>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</si>
  <si>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</si>
  <si>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</si>
  <si>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</si>
  <si>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</si>
  <si>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</si>
  <si>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</si>
  <si>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</si>
  <si>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</si>
  <si>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</si>
  <si>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</si>
  <si>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</si>
  <si>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</si>
  <si>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</si>
  <si>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</si>
  <si>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</si>
  <si>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</si>
  <si>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</si>
  <si>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</si>
  <si>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</si>
  <si>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</si>
  <si>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</si>
  <si>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</si>
  <si>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</si>
  <si>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</si>
  <si>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</si>
  <si>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</si>
  <si>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</si>
  <si>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</si>
  <si>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</si>
  <si>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</si>
  <si>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Card GUID</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</si>
  <si>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</si>
  <si>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</si>
  <si>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</si>
  <si>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</si>
  <si>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</si>
  <si>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</si>
  <si>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</si>
  <si>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</si>
  <si>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</si>
  <si>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</si>
  <si>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</si>
  <si>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</si>
  <si>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</si>
  <si>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</si>
  <si>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</si>
  <si>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</si>
  <si>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</si>
  <si>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</si>
  <si>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</si>
  <si>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</si>
  <si>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</si>
  <si>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</si>
  <si>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</si>
  <si>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My Custom Set</t>
  </si>
  <si>
    <t>00000000-05d1-4216-8c22-06dcc958e7a3</t>
  </si>
  <si>
    <t>Attack on Dol Guldur</t>
  </si>
  <si>
    <t>Assault on the Golden Wood</t>
  </si>
  <si>
    <t>Crossing the Anduin</t>
  </si>
  <si>
    <t>The Siege of Dol Guldur</t>
  </si>
  <si>
    <t>The Tower of Sorcery</t>
  </si>
  <si>
    <t>Battle Under the Trees</t>
  </si>
  <si>
    <t>Dungeons of the Necromancer</t>
  </si>
  <si>
    <t>Dol Guldur</t>
  </si>
  <si>
    <t>Objective</t>
  </si>
  <si>
    <t>City. Stronghold.</t>
  </si>
  <si>
    <t>Silvan.</t>
  </si>
  <si>
    <t>Ranged. Sentinel.</t>
  </si>
  <si>
    <t>Bane of Amon Lanc</t>
  </si>
  <si>
    <t>Lieutenant. Troll. Olog-hai.</t>
  </si>
  <si>
    <t>Indestructible.</t>
  </si>
  <si>
    <t>Sorcerer of Dol Guldur</t>
  </si>
  <si>
    <t>Lieutenant. Sorcerer.</t>
  </si>
  <si>
    <t>Chieftain Morlug</t>
  </si>
  <si>
    <t>Lieutenant. Orc. Uruk.</t>
  </si>
  <si>
    <t>Dungeon Dweller</t>
  </si>
  <si>
    <t>Lieutenant. Spider.</t>
  </si>
  <si>
    <t>Forced: When Dungeon Dweller attacks you, discard an ally you control.</t>
  </si>
  <si>
    <t>Host of Dol Guldur</t>
  </si>
  <si>
    <t>Orc.</t>
  </si>
  <si>
    <t>Archery X.</t>
  </si>
  <si>
    <t>X</t>
  </si>
  <si>
    <t>Mirkwood Olog-hai</t>
  </si>
  <si>
    <t>Troll. Olog-hai.</t>
  </si>
  <si>
    <t>Forced: After Mirkwood Olog-hai attacks and destroys a character, remove 1 progress from the main quest for each excess point of damage.</t>
  </si>
  <si>
    <t>Beast of Taur-nu-Fuin</t>
  </si>
  <si>
    <t>Creature. Werewolf.</t>
  </si>
  <si>
    <t>Amon Lanc Archer</t>
  </si>
  <si>
    <t>Archery 2.</t>
  </si>
  <si>
    <t>Forced: After Amon Lanc Archer engages you, either remove 2 progress from the main quest, or deal 2 damage to an ally you control.</t>
  </si>
  <si>
    <t>Dol Guldur Marauder</t>
  </si>
  <si>
    <t>Battle Warg</t>
  </si>
  <si>
    <t>Creature. Warg.</t>
  </si>
  <si>
    <t>Surge.</t>
  </si>
  <si>
    <t>Forced: After Battle Warg engages you, either remove 1 progress from the main quest or discard an attachment you control.</t>
  </si>
  <si>
    <t>Gate of Dol Guldur</t>
  </si>
  <si>
    <t>Dol Guldur.</t>
  </si>
  <si>
    <t>The Sorcerer's Tower</t>
  </si>
  <si>
    <t>The Shadow Road</t>
  </si>
  <si>
    <t>Dungeon Door</t>
  </si>
  <si>
    <t>Forest Battleground</t>
  </si>
  <si>
    <t>Blackened Woods</t>
  </si>
  <si>
    <t>Servant of Sauron</t>
  </si>
  <si>
    <t>When Revealed: The enemy in the staging area with the highest engagement cost makes an immediate attack against the first player.</t>
  </si>
  <si>
    <t>Power Sevenfold</t>
  </si>
  <si>
    <t>Doomed 1.</t>
  </si>
  <si>
    <t>When Revealed: Each player must choose: either search the encounter deck and discard pile for a Dol Guldur location and add it to the staging area, or search the encounter deck and discard pile for an Orc enemy and put it into play engaged with him.</t>
  </si>
  <si>
    <t>The Necromancer's Rage</t>
  </si>
  <si>
    <t>Fear and Despair</t>
  </si>
  <si>
    <t>When Revealed: Each player exhausts a character he controls. Until the end of the round, characters cannot be readied by player card effects.</t>
  </si>
  <si>
    <t>Fastness of Mirkwood</t>
  </si>
  <si>
    <t>Standard Game Mode</t>
  </si>
  <si>
    <t>Campaign</t>
  </si>
  <si>
    <t>Epic Multiplayer Mode</t>
  </si>
  <si>
    <t>Setup: Create 3 separate staging area, each with its own quest deck and encounter deck. Divide the players into 3 teams, one for each staging area. One team puts Dol Guldur into play in their staging area, attaches a threat dial to it, and sets its value to 5. Then, increase its value by 5 for each player at each stage. For the rest of the game, that threat dial is the siege tracker and it displays the city strength of Dol Guldur. Each other team removes their copy of Dol Guldur. Each other team removes their copy of Dol Guldur from the game. Flip this card over.</t>
  </si>
  <si>
    <t>Objective Ally</t>
  </si>
  <si>
    <t>Lórien.</t>
  </si>
  <si>
    <t>Power of Lórien</t>
  </si>
  <si>
    <t>Host of Lórien</t>
  </si>
  <si>
    <t>Setup: Set Host of Lórien and all 4 Lieutenant enemies aside, out of play. Add Power of Lórien and 1 copy of Dol Guldur Marauder per player to the staging area. Shuffle the encounter deck.</t>
  </si>
  <si>
    <t>When Revealed: The first player may remove 10 progress from Power of Lórien to take control of the set-aside Host of Lórien. Then, he may remove an additional 20 progress from Power of Lórien to place it in his play area under his control, otherwise discard it.</t>
  </si>
  <si>
    <t>When Revealed: The first player may remove 10 progress from Power of Lórien to take control of the set-aside Host of Lórien. Then, he may remove an additional 20 progress from Power of Lórien to place it in his play area under his control, otherwise discard it.When Revealed: Each player searches the encounter deck and discard pile for a Dol Guldur location and adds it to the staging area. Shuffle the encounter deck. Advance to a stage 3 of your choice. If you are playing epic multiplayer mode, each team must choose a different stage.</t>
  </si>
  <si>
    <t>Immune to player card effects.Does not exhaust to quest.If Host of Lórien leaves play, remove it from the game.</t>
  </si>
  <si>
    <t>When Revealed: Deal 1 damage to each exhausted character. Until the end of the phase, each damaged character gets -1 Ò.</t>
  </si>
  <si>
    <t>While you control Power of Lórien, it gains: "Response: Add Power of Lórien to the victory display to cancel and discard an encounter card just revealed from the encounter deck."</t>
  </si>
  <si>
    <t>The Shadow Road gets +2 $ for each facedown card attached to it.While The Shadow Road is in the staging area, it gains: "The players cannot travel or place progress here unless they are at stage 3F. Forced: After an event is played during the quest phase, attach it facedown to The Shadow Road."</t>
  </si>
  <si>
    <t>While Dungeon Door is in the staging area, it gains: "The players cannot travel or place progress here unless they are at stage 3H. No more than 1 damage can be healed from each character each round."</t>
  </si>
  <si>
    <t>A</t>
  </si>
  <si>
    <t>C</t>
  </si>
  <si>
    <t>E</t>
  </si>
  <si>
    <t>H</t>
  </si>
  <si>
    <t>G</t>
  </si>
  <si>
    <t>The Wizard's Quest</t>
  </si>
  <si>
    <t>Radagast's Request</t>
  </si>
  <si>
    <t>Setup: Add Rhosgobel to the staging area. The opposing team searches the encounter deck for one different 0 cost enemy or 0 cost location per player and adds them to the staging area. Shuffle the encounter deck.</t>
  </si>
  <si>
    <t>Mirkwood Forest</t>
  </si>
  <si>
    <t>The Necromancer's Tower</t>
  </si>
  <si>
    <t>Rhosgobel</t>
  </si>
  <si>
    <t>Forest. Village.</t>
  </si>
  <si>
    <t>Rider of Mirkwood</t>
  </si>
  <si>
    <t>Necromancer's Pass</t>
  </si>
  <si>
    <t>Pursued by Shadow</t>
  </si>
  <si>
    <t>Troll.</t>
  </si>
  <si>
    <t>Oak-wood Grove</t>
  </si>
  <si>
    <t>Smoking Blood</t>
  </si>
  <si>
    <t>Forest Flies</t>
  </si>
  <si>
    <t>Creature. Insect.</t>
  </si>
  <si>
    <t>Twilight Hall</t>
  </si>
  <si>
    <t>Swarming Mosquitoes</t>
  </si>
  <si>
    <t>When Revealed: Each player deals X damage to a character he controls, where X is more than the stage number of the main quest.</t>
  </si>
  <si>
    <t>Goblin Sniper</t>
  </si>
  <si>
    <t>Orc. Goblin.</t>
  </si>
  <si>
    <t>Pine Slopes</t>
  </si>
  <si>
    <t>Mountain. Forest.</t>
  </si>
  <si>
    <t>Under the Shadow</t>
  </si>
  <si>
    <t>Necromancer's Warg</t>
  </si>
  <si>
    <t>Warg.</t>
  </si>
  <si>
    <t>Dol Guldur Beastmaster</t>
  </si>
  <si>
    <t>Watched Path</t>
  </si>
  <si>
    <t>Forced: When Watched Path is explored, discard the top card of the encounter deck. If the discarded card is an enemy, add it to the staging area.</t>
  </si>
  <si>
    <t>Evil Storm</t>
  </si>
  <si>
    <t>Weather.</t>
  </si>
  <si>
    <t>When Revealed: Each player deals 1 damage to a questing character he controls. Until the end of the phase, each damaged character gets -1 Ã’ and cannot be healed.</t>
  </si>
  <si>
    <t>Spider of Dol Guldur</t>
  </si>
  <si>
    <t>Spider.</t>
  </si>
  <si>
    <t>Forced: After Spider of Dol Guldur attacks and destroys an ally, return it to the staging area.</t>
  </si>
  <si>
    <t>Patch of Midnight</t>
  </si>
  <si>
    <t>Forced: At the beginning of the staging step, discard Patch of Midnight and reveal the top card of the encounter deck.</t>
  </si>
  <si>
    <t>Eyes in the Dark</t>
  </si>
  <si>
    <t>When Revealed: The opposing team chooses a questing character controlled by each player. Ready each chosen character and remove them from the quest.</t>
  </si>
  <si>
    <t>Eastern Crows</t>
  </si>
  <si>
    <t>Creature.</t>
  </si>
  <si>
    <t>While there is a copy of Eastern Crows in the discard pile, Eastern Crows gains surge.</t>
  </si>
  <si>
    <t>When Revealed: The opposing team chooses any number of non-unique encounter cards in play. Discard the chosen cards and reveal an equal number of cards from the top of the encounter deck.</t>
  </si>
  <si>
    <t>Hill Troll</t>
  </si>
  <si>
    <t>Cannot have non-objective palyer card attachments.</t>
  </si>
  <si>
    <t>Troll Cave</t>
  </si>
  <si>
    <t>Forest. Cave.</t>
  </si>
  <si>
    <t>Befouled Equipment</t>
  </si>
  <si>
    <t>Hunting Warg</t>
  </si>
  <si>
    <t>Hunter's Lookout</t>
  </si>
  <si>
    <t>Restless Hunters</t>
  </si>
  <si>
    <t>When Revealed: Return each engaged enemy to the staging area. If no enemies were returned this way, Restless Hunters gains surge.</t>
  </si>
  <si>
    <t>Dol Guldur Orcs</t>
  </si>
  <si>
    <t>When Revealed: Each player deals 1 damage to a character he controls.</t>
  </si>
  <si>
    <t>Forest. Road.</t>
  </si>
  <si>
    <t>The Necromancer's Reach</t>
  </si>
  <si>
    <t>When Revealed: Deal 1 damage to each exhausted character.</t>
  </si>
  <si>
    <t>Ravenous Spider</t>
  </si>
  <si>
    <t>Forced: After Ravenous Spider attacks and destroys a character, the defending player exhausts a character he controls.</t>
  </si>
  <si>
    <t>Forest Gate</t>
  </si>
  <si>
    <t>Forest Gate gets +1 $ for each enemy in the staging area.</t>
  </si>
  <si>
    <t>Nightfall</t>
  </si>
  <si>
    <t>Venomous Spider</t>
  </si>
  <si>
    <t>Forced: After Venomous Spider attacks and damages a character, that character cannot ready until the end of the round.</t>
  </si>
  <si>
    <t>Pitch-dark Thicket</t>
  </si>
  <si>
    <t>While Pitch-dark Thicket is in the staging area, enemies in the staging area cannot take damage.</t>
  </si>
  <si>
    <t>When Revealed: The opposing team searches the encounter deck and discard pile for one different 0 cost location per player (limit 2) and adds them to the staging area. Shuffle the encounter deck.</t>
  </si>
  <si>
    <t>Dark Bats</t>
  </si>
  <si>
    <t>Forced: After Dark Bats attacks and damages a character, reveal the top card of the encounter deck. Then, discard Dark Bats.</t>
  </si>
  <si>
    <t>Forest Stream</t>
  </si>
  <si>
    <t>Forest. River.</t>
  </si>
  <si>
    <t>Treacherous Fog</t>
  </si>
  <si>
    <t>When Revealed: Until the end of the phase, each enemy and location in the staging area gets +2 $.</t>
  </si>
  <si>
    <t>Howling Warg</t>
  </si>
  <si>
    <t>When Revealed: Discard the top card of the encounter deck. If that card has the Warg trait, reveal it and add it to the staging area.</t>
  </si>
  <si>
    <t>The Wargs' Glade</t>
  </si>
  <si>
    <t>Weighed Down</t>
  </si>
  <si>
    <t>When Revealed: Exhaust each character with an attachment. If no character is exhausted this way, Weighed Down gains surge.</t>
  </si>
  <si>
    <t>The Woodland Realm</t>
  </si>
  <si>
    <t>Captured by Spiders</t>
  </si>
  <si>
    <t>Setup: Add Spider Den to the staging area. The opposing team searches the encounter deck for one different 0 cost enemy or 0 cost location per player and adds it to the staging area. Shuffle the encounter deck.</t>
  </si>
  <si>
    <t>A Chosen Path</t>
  </si>
  <si>
    <t>On the Trail</t>
  </si>
  <si>
    <t>Spider Den</t>
  </si>
  <si>
    <t>Mendor</t>
  </si>
  <si>
    <t>Silvan. Scout.</t>
  </si>
  <si>
    <t>The first player gains control of Mendor.If Mendor leaves play, the players lose the game.</t>
  </si>
  <si>
    <t>Forest Grove</t>
  </si>
  <si>
    <t>Despair</t>
  </si>
  <si>
    <t>Chieftain Ufthak</t>
  </si>
  <si>
    <t>Abandoned Camp</t>
  </si>
  <si>
    <t>Forced: When Abandoned Camp leaves play as an explored location, the opposing team chooses a card in the encounter discard pile and shuffles it into the encounter deck.</t>
  </si>
  <si>
    <t>Gathering Gloom</t>
  </si>
  <si>
    <t>When Revealed: Each player raises his threat by X, where X is 1 more than the stage number of the main quest.</t>
  </si>
  <si>
    <t>Black Forest Bats</t>
  </si>
  <si>
    <t>When Revealed: The opposing team chooses a questing character. Remove that character from the quest.</t>
  </si>
  <si>
    <t>Enchanted Steam</t>
  </si>
  <si>
    <t>Exhaustion</t>
  </si>
  <si>
    <t>Forced: After Spiders of Mirkwood engages you, exhaust a character you control.</t>
  </si>
  <si>
    <t>The Spiders' Ring</t>
  </si>
  <si>
    <t>Caught in a Web</t>
  </si>
  <si>
    <t>Wolf Rider</t>
  </si>
  <si>
    <t>When Revealed: If there is another Orc enemy in the staging area, Wolf Rider gains surge.</t>
  </si>
  <si>
    <t>The Goblins' Cave</t>
  </si>
  <si>
    <t>Mountain. Cave.</t>
  </si>
  <si>
    <t>Driven by Shadow</t>
  </si>
  <si>
    <t>Dark Black Woods</t>
  </si>
  <si>
    <t>Wind-whipped Rain</t>
  </si>
  <si>
    <t>When Revealed: Each player must choose: either choose 1 card from his hand and discard the rest, or assign X damage among characters he controls, where X is the number of cards in his hand.</t>
  </si>
  <si>
    <t>Giant Spider</t>
  </si>
  <si>
    <t>When Revealed: Each player exhausts a character he controls.</t>
  </si>
  <si>
    <t>Giant Web</t>
  </si>
  <si>
    <t>When Revealed: Make Giant Web the active location. Return any previous location to the staging area.</t>
  </si>
  <si>
    <t>Eyes of the Forest</t>
  </si>
  <si>
    <t>Mirkwood Patrol</t>
  </si>
  <si>
    <t>While Mirkwood Patrol is in the staging area, enemies cannot be optionally engaged.</t>
  </si>
  <si>
    <t>Mountains of Mirkwood</t>
  </si>
  <si>
    <t>Mountains.</t>
  </si>
  <si>
    <t>Hatred Rekindled</t>
  </si>
  <si>
    <t>When Revealed: Each engaged enemy makes an immediate attack. If no attacks were made this way, Hatred Rekindled gains surge.</t>
  </si>
  <si>
    <t>Wild Bear</t>
  </si>
  <si>
    <t>X is 1 more than the stage number of the main quest.</t>
  </si>
  <si>
    <t>Labyrinthine Woods</t>
  </si>
  <si>
    <t>When Revealed: Until the end of the phase, each location in the staging area gets +1 $.</t>
  </si>
  <si>
    <t>Vastness of Mirkwood</t>
  </si>
  <si>
    <t>When Revealed: The opposing team searches the top 5 cards of the encounter deck for a card with cost equal to or less than the stage number of the main quest, sets it aside and shuffles the encounter deck. Then, reveal the set aside card.</t>
  </si>
  <si>
    <t>Mirkwood Flock</t>
  </si>
  <si>
    <t>The Eaves of Mirkwood</t>
  </si>
  <si>
    <t>Massing at Night</t>
  </si>
  <si>
    <t>When Revealed: The opposing team searches the encounter deck and discard pile for one different 0 cost enemy per player (limit 2) and adds them to the staging area.</t>
  </si>
  <si>
    <t>Wild Wargs</t>
  </si>
  <si>
    <t>Forced: After Wild Wargs is dealt a shadow card with no shadow effect, return it to the staging area.</t>
  </si>
  <si>
    <t>Dry Watercourse</t>
  </si>
  <si>
    <t>Turned Around</t>
  </si>
  <si>
    <t>Pack of Wargs</t>
  </si>
  <si>
    <t>Dark-wood Grove</t>
  </si>
  <si>
    <t>Lost and Witless</t>
  </si>
  <si>
    <t>When Revealed: Each player reveals his hand and discards each ally card revealed this way.</t>
  </si>
  <si>
    <t>Wicked Spider</t>
  </si>
  <si>
    <t>Forced: After Wicked Spider engages you, discard an exhausted character you control.</t>
  </si>
  <si>
    <t>Old Forest Road</t>
  </si>
  <si>
    <t>A Frightened Beast</t>
  </si>
  <si>
    <t>When Revealed: Each player must choose: either raise your threat by 1 for each questing character you control, or discard a questing character you control.</t>
  </si>
  <si>
    <t>Ambushing Orcs</t>
  </si>
  <si>
    <t>When Revealed: Ambushing Orcs makes an immediate attack against the first player.</t>
  </si>
  <si>
    <t>Mirkwood Path</t>
  </si>
  <si>
    <t>Forced: When Mirkwood Path is explored, discard the top card of the encounter deck. If that card is a location, add it to the staging area.</t>
  </si>
  <si>
    <t>Wasted Provisions</t>
  </si>
  <si>
    <t>Nazgûl.</t>
  </si>
  <si>
    <t>Nazgûl of Dol Guldur</t>
  </si>
  <si>
    <t>When Revealed: Each player discards each resource from each of his heroe's resource pools and raises his threat by 1 for each resource he discarded this way. If no resources were discarded this way, Wasted Provisions gains surge.</t>
  </si>
  <si>
    <t>When Revealed: The highest Û enemy in the staging area makes an immediate attack against the first player. If no attack is made this way, Pursued by Shadow gains surge.</t>
  </si>
  <si>
    <t>Forced: After Hunting Warg engages a player, it makes an immediate attack. If Hunting Warg is dealt a shadow card with no shadow effect for this attack, it gets +2 Û until the end of the phase.</t>
  </si>
  <si>
    <t>Immune to player card effects.Response: After the players travel to Rhosgobel, add 1 resource to each hero's pool and each player draws 1 card.</t>
  </si>
  <si>
    <t>When Revealed: The first player chooses a card in his hand. The opposing team looks at the first player's hand and chooses a different card to place faceup under Necromancer's Pass as a guarded objective. While Necromancer's Pass is guarding a card, copies of that card cannot be played. When Necromancer's Pass is explored, return the guarded card to its owner's hand.</t>
  </si>
  <si>
    <t>Forced: When Forest Flies attacks, raise the defending player's threat by 1.</t>
  </si>
  <si>
    <t>Forced: After Necromancer's Warg engages you, deal 1 damage to a character you control.</t>
  </si>
  <si>
    <t>Forced: After Dol Guldur Beastmaster engages you, the opposing team searches the encounter deck and discard pile for a Necromancer's Warg and puts it into play engaged with you. Shuffle the enconter deck.</t>
  </si>
  <si>
    <t>Cannot have non-objective player card attachments or take non-combat damage.While Ungoliant's Spawn is in the staging area, characters cannot be readied by player card effects.</t>
  </si>
  <si>
    <t>When Revealed: Until the end of the round, treat each character's printed text box as if it were blank (except for Traits).</t>
  </si>
  <si>
    <t>When Revealed: The opposing team looks at each player's hand and discards 1 card from each.</t>
  </si>
  <si>
    <t>When Revealed: Attach to the main quest. (Counts as a condition attachment with the text: "Each player cannot play more than 1 card each phase.")</t>
  </si>
  <si>
    <t>When Revealed: Û to the character with the most attachments without Befouled Equipment attached. (Counts as a Condition attachment with the text: "Forced: At the end of the round, discard an attachment from attached character. Befouled Equipment cannot be discarded this way unless it is the only attachment on attached character.")</t>
  </si>
  <si>
    <t>While Hunter's Lookout is in the staging area, it gains: "Forced: At the end of the round, raise each player's threat by 1 for each enemy in the staging area."Travel: The highest Û enemy in the staging area makes an immediate attack against the first player.</t>
  </si>
  <si>
    <t>While The Shadow Road is in the staging area, it gains: "Forced: After a player optionally engages an enemy, he deals 1 damage to a character he controls."Travel: Each player deals 1 damage to a character he controls.</t>
  </si>
  <si>
    <t>When Revealed: Attach to the first player's threat dial. (Counts as a Condition attachment with the text: "Forced: Raise your threat by an additional point during the refresh phase.")</t>
  </si>
  <si>
    <t>While Forest Stream is in the staging area, it gains: "Forced: At the end of the round, remove 2 progress from the main quest."Travel: Raise each player's threat by 2.</t>
  </si>
  <si>
    <t>When Revealed: The opposing team attaches Caught in a Web to a hero and exhausts that hero. (Counts as a Condition attachment with the text: "Limit 1 per hero. Attached hero cannot ready unless its controller first spends 2 resource from its pool.")</t>
  </si>
  <si>
    <t>When Revealed: The opposing team attaches Driven by Shadow to an enemy and returns it to the staging area. (Counts as a Condition attachment with the text: "Limit 1 per enemy. Attached enemy gets +2 $, +2 Û, +2 Ãš and is immune to player card effects.") If there is no enemy in play, Driven by Shadow gains surge.</t>
  </si>
  <si>
    <t>While Mountains of Mirkwood is in the staging area, it gains: "Forced: At the end of the round, raise each player's threat by 2."</t>
  </si>
  <si>
    <t>When Revealed: Remove 5 progress tokens from the main quest and attach Turned Around to it. (Counts as a Condition attachment with the text: "Attached quest gets +5 quest points.")</t>
  </si>
  <si>
    <t>While Dark-wood Grove is in the staging area, it gains: "Forced: After a 'when revealed' effect is canceled, raise each player's threat by 3." Travel: Reveal the top card of the encounter deck.</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</si>
  <si>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</si>
  <si>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</si>
  <si>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</si>
  <si>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t>
  </si>
  <si>
    <t>While the players are at stage 3, Dol Guldur gains: "Forced: At the end of the round, after resolving the Forced effect on each stage 3 in play, reduce Dol Guldur's city strength by X, where X is the total siege value of each location explored and each enemy destroyed at each stage this round."</t>
  </si>
  <si>
    <t>While Gate of Dol Guldur is in the staging area, it gains: "The player cannot travel or place progress here unless they are at stage 3B. Each player's threat cannot be reduced by more than 1 each round by player card effects."</t>
  </si>
  <si>
    <t>Forced: When Blackened Woods is explored, discard the top card of the encounter deck and raise each player's threat by X, where X is that card's printed $.</t>
  </si>
  <si>
    <t>When Revealed: No more than 5 progress can be placed on the current quest this round. If Dol Guldur's city strength is 5 or lower, Fastness of Mirkwood gains surge.</t>
  </si>
  <si>
    <t>Setup: Add Dol Guldur to the staging area, attach a threat dial to it, and set its value to 5. Then, increase it's value by 5 for each player. For the rest of the game, that threat dial is the siege tracker and it displays the city strength of Dol Guldur. Flip this card over.</t>
  </si>
  <si>
    <t>Immune to player card effects.X is 1 more than the stage number of the main quest. Cannot leave the staging area unless the players are at stage 3B.</t>
  </si>
  <si>
    <t>Cannot have non-objective player card attachments or take non-combat damage. Forced: After Nazgûl of Dol Guldur attacks you, eithe return it to the staging area or raise your threat by 3.</t>
  </si>
  <si>
    <t>When Revealed: The opposing team attached Smoking Blood to a Troll enemy. If they cannot, Smoking Blood gains surge.(Counts as a Condition attachment with the text: "Limit 1 per enemy. Forced: When attached enemy is dealt enough damage to destroy it, cancel the damage and discard Smoking Blood instead.")</t>
  </si>
  <si>
    <t>Cannot be optionally engaged. Forced: At the end of the combat phase, easy player deals 1 damage to a hero he controls.</t>
  </si>
  <si>
    <t>Setup: Set Host of Lórien and all 4 Lieutenant enemies aside, out of play. Add Power of Lórien and 1 copy of Dol Guldur Marauder per player to the staging area. Shuffle the encounter deck. Forced: At the end of the round, place 1 resource here and move all progress from this stage to Power of Lórien. If there are 3 resources here, advance to stage 2A.Response: At the end of the round, raise each player's threat by 1 to choose a stage. Each player at that stage draws 1 card and adds 1 resource to a hero's resource pool.</t>
  </si>
  <si>
    <t>When Revealed: Remove all tokens from the Lieutenant enemy at this stage and set it aside, out of play. Add the set aside Bane of Amon Lanc to the staging area, unless it is in a victory display. If Dol Guldur's city strength is 5 or lower (10 or lower if playing epic multiplayer mode), Bane of Amon Lanc makes an immediate attack against each player in turn order.Bane of Amon Lanc gets -1 engagement cost for each progress token on this stage. Forced: At the end of the round, remove 5 progress from this stage or increase Dol Guldur's city strength by 3. The first player may remove an additional 5 progress to reduce Dol Guldur's city strength by 3.</t>
  </si>
  <si>
    <t>When Revealed: Remove all tokens from the Lieutenant enemy at this stage and set it aside, out of play. Add the set aside Sorcerer of Dol Guldur to the staging area, unless it is in a victory display. If Dol Guldur's city strength is 5 or lower (10 or lower if playing epic multiplayer mode), Sorcerer of Dol Guldur makes an immediate attack against each player in turn order.Sorcerer of Dol Guldur gets -1 engagement cost for each progress token on this stage. Forced: At the end of the round, remove 5 progress from this stage or each player at each stage discards all but 1 card from his hand. The first player may remove an additional 5 progress from this stage to choose a player at any stage. That player searches his deck for a card, adds it to his hand, and shuffles his deck.</t>
  </si>
  <si>
    <t>When Revealed: Remove all tokens from the Lieutenant enemy at this stage and set it aside, out of play. Add the set aside Chieftain Morlug to the staging area, unless it is in a victory display. If Dol Guldur's city strength is 5 or lower (10 or lower if playing epic multiplayer mode), Chieftain Morlug makes an immediate attack against each player in turn order.Chieftain Morlug gets -1 engagement cost for each progress token on this stage. Forced: At the end of the round, remove 5 progress from this stage or each player at each stage discards cards from the top of the encounter deck until an enemy is discarded and puts it into play engaged with him. (If the last card of the encounter deck is discarded resolving this effect, shuffle the discard pile back into the encounter deck.) The first player may remove an additional 5 progress from this stage to choose a non-unique enemy at any stage and destroy it.</t>
  </si>
  <si>
    <t>When Revealed: Remove all tokens from the Lieutenant enemy at this stage and set it aside, out of play. Add the set aside Dungeon Dweller to the staging area, unless it is in a victory display. If Dol Guldur's city strength is 5 or lower (10 or lower if playing epic multiplayer mode), Dungeon Dweller makes an immediate attack against each player in turn order.Dungeon Dweller gets -1 engagement cost for each progress token on this stage. Forced: At the end of the round, remove 5 progress from this stage or each player at each stage discards an ally he controls. The first player may remove an additional 5 progress from this stage to choose a player at any stage. That player searches the top 10 cards of his deck for an ally an puts it into play.</t>
  </si>
  <si>
    <t>Immune to player card effects. Forced: When Bane of Amon Lanc attacks you, discard a random card from your hand. Bane of Amon Lanc gets +X Û for this attack, where X is that card's printed cost.</t>
  </si>
  <si>
    <t>Immune to player card effects. Forced: When Sorcerer of Dol Guldur attacks you, discard the top card of your deck. Then, discard each copy of that card from play.</t>
  </si>
  <si>
    <t>Immune to player card effects. Forced: When Chieftain Morlug attacks you, discard cards from the top of the encounter deck until an enemy is discarded and put it into play engaged with you.</t>
  </si>
  <si>
    <t>X is the number of players.Cannot have attachments. Forced: At the end of the encounter phase, if Host of Dol Guldur is in the staging area, remove X progress from the main quest.</t>
  </si>
  <si>
    <t>Beast of Taur-nu-Fuin cannot have attachments and its shadow cards cannot be canceled. Forced: When Beast of Taur-nu-Fuin attacks, either remove 2 progress from the main quest or deal it an additional shadow card.</t>
  </si>
  <si>
    <t>Dol Guldur Marauder gets +1 Û and +1 Ú for each resource on it. Forced: When Dol Guldur Marauder attacks, either remove 1 progress from the main quest or place 1 resource on Dol Guldur Marauder.</t>
  </si>
  <si>
    <t>Forest Battleground gets +1 $ for each ally controlled by the player with the most allies. Forced: When Forest Battleground is explored, each player searches the encounter deck and discard pile for an Orc enemy and adds it to the staging area. Shuffle the encounter deck.</t>
  </si>
  <si>
    <t>Cannot have non-objective player card attachments. Forced: After Bane of Amon Lanc attacks and destroys an ally, the defending player discards 1 card from his hand for each excess point of damage dealt by this attack.</t>
  </si>
  <si>
    <t>Cannot have attachments. Twilight Hall gets +1 $ for each character controlled by the first player. Forced: When Twilight Hall is explored, reveal 1 encounter card per player.</t>
  </si>
  <si>
    <t>While The Warg's Glade is in the staging area, the first Warg enemy revealed each round gains surge. Forced: When The Warg's Glade is explored, the opposing team searches the encounter deck and discard pile for a non-unique Warg enemy and adds it to the staging area. Shuffle the encounter deck.</t>
  </si>
  <si>
    <t>Cannot have non-objective player card attachments or take non-combat damage. Forced: After Chieftain Ufthak engages you, the opposing team searches the encounter deck and discard pile for an Orc enemy of cost 1 or less and puts it into play engaged with you. Shuffle the encounter deck.</t>
  </si>
  <si>
    <t>While The Spider's Ring is in the staging area, each Spider enemy gets +1 $. Forced: When The Spider's Ring is explored, the opposing team searches the encounter deck and discard pile for a non-unique Spider enemy and adds it to the staging area.</t>
  </si>
  <si>
    <t>While The Goblin's Cave is in the staging area, each Orc enemy gets +1 Û. Forced: When The Goblin's Cave is explored, the opposing team searches the encounter deck and discard pile for a non-unique Orc enemy and adds it to the staging area.</t>
  </si>
  <si>
    <t>Beast of Taur-nu-Fuin gets +1 Û for each damage on it. Forced: When Beast of Taur-nu-Fuin is dealt a shadow card with no shadow effect, deal 1 damage to it and the defending character.</t>
  </si>
  <si>
    <t>Cannot have non-objective player card attachments or take non-combat damage. Forced: After Pack of Wargs is dealt a shadow card with no shadow effect, it makes an additional attack after this one. Do not deal it a shadow card for this attack.</t>
  </si>
  <si>
    <t>Rider of Mirkwood's engagement cost is considered to be 0. The number of damage tokens on Rider of Mirkwood cannot exceed the number of progress tokens on this stage.Players cannot defeat this stage while Rider of Mirkwood is in play. If the players defeat this stage, they win the game.</t>
  </si>
  <si>
    <t>While Oak-wood Grove is in the staging area, progress cannot be placed on other locations in the staging area. Travel: Each player exhausts a character.</t>
  </si>
  <si>
    <t>When Revealed: Each Pine Slopes +2 $ until the end of the phase. Travel: Raise your threat by 1 for each Pine Slopes in the staging area.</t>
  </si>
  <si>
    <t>Response: After the players travel to Troll Cave, each player draws 1 card. Travel: The opposing team searches the top 5 cards of the encounter deck for a Hill Troll and adds it to the staging area, if able. Shuffle the encounter deck.</t>
  </si>
  <si>
    <t>Setup: Add Spider Den to the staging area. The opposing team searches the encounter deck for one different 0 cost enemy or 0 cost location per player and adds it to the staging area. Shuffle the encounter deck. Forced: When Spider Den is explored, flip it over and put Mendor into play under the first player's control, ready. This stage cannot be defeated unless the first player controls Mendor.</t>
  </si>
  <si>
    <t>Immune to player card effects. Travel: The opposing team searches the encounter deck and discard pile for a 0 cost enemy and adds it to the staging area, if able (1 cost or less if there are two or more players). Shuffle the encounter deck.</t>
  </si>
  <si>
    <t>X is 1 more than the stage number of the main quest. Travel: Each player deals X damage to a character he controls.</t>
  </si>
  <si>
    <t>While Enchanted Steam is in the staging area, progress cannot be placed on the main quest. Travel: Each player exhausts a hero he controls. Those heroes cannot ready while Enchanted Stream is the active location.</t>
  </si>
  <si>
    <t>Dark Black Woods gets +1 $ for each Dark Black Woods in the staging area. Travel: Each player must discard 1 card from his hand for each Dark Black Woods in the staging area.</t>
  </si>
  <si>
    <t>While The Eaves of Mirkwood is in the staging area, no more than 1 progress can be placed on each location in the staging area each round. Travel: Each player discards 1 random card from his hand.</t>
  </si>
  <si>
    <t>While Dry Watercourse in in the staging area, each player cannot reduce his threat by more than 1 each round. Travel: Raise each player's threat by 1.</t>
  </si>
  <si>
    <t>Response: After the players travel to Old Forest Road, the first player discards the top card of his deck. If that card is an ally, he puts it into play. Travel: Discard the top card of the encounter deck, if that card is an enemy, add it to the staging area.</t>
  </si>
  <si>
    <t>D</t>
  </si>
  <si>
    <t>F</t>
  </si>
  <si>
    <t>-</t>
  </si>
  <si>
    <t>A Fork in the Road</t>
  </si>
  <si>
    <t>Carried Away</t>
  </si>
  <si>
    <t>A New Terror Abroad</t>
  </si>
  <si>
    <t>Return to Rhosgobel</t>
  </si>
  <si>
    <t>Forced: When Rhosgobel is explored, flip it over and add Rider of Mirkwood to the staging area. This stage cannot be defeated while Rhosgobel is in play.</t>
  </si>
  <si>
    <t>When Revealed: The opposing team searches the encounter deck and discard pile for a location with cost 2 or less, adds it to the staging area, and places a resource on it. Shuffle the encounter deck. The location with a resource on it is immune to player card effects and the players cannot travel to it while this stage has any quest points remaining. This stage cannot be defeated while the location with a resource on it is in play.</t>
  </si>
  <si>
    <t>When Revealed: The opposing team chooses an ally controlled by each player and places them faceup under this stge as guarded objectives with blank text boxes. Players cannot play or put into play any ally that shares a title with an ally guarded by this stage. When this stage is defeated, return each guarded ally to its owner's hand.</t>
  </si>
  <si>
    <t>This stage gets +5 quest points per player. Forced: At the beginning of the quest phase, Rider of Mirkwood makes an immediate attack against the first player.</t>
  </si>
  <si>
    <t>Forced: After the players have committed characters to the quest, discard cards from the top of the encounter deck until a treachery is discarded. Reveal that treachery.If the players defeat this stage, they win the game.</t>
  </si>
  <si>
    <t>When Revealed: Shuffle the encounter discard pile into the encounter deck. Each player discards from the top of the encounter deck until he discards an enemy, adds that enemy to the staging area, and attached a hero he controls to it as a guarded objective (discard all tokens from the chosen hero).If there is an unguarded hero in the staging area, return it to its owner's control, exhausted. This stage cannot be defeated while there is a guarded objective in play. If the players defeat this stage, they win the game.</t>
  </si>
  <si>
    <t>Progress cannot be placed on locations in the staging area.During the travel phase, the players must travel to a location, if able. Forced: After characters are committed to the quest, no more than 5 progress can be placed here this round (10 progress instead if Mendor is committed to the quest).</t>
  </si>
  <si>
    <t>Each enemy in the staging area gets -10 engagement cost, cannot be optionally engaged and cannot take damage. Forced: After characters are committed to the quest, no more than 5 progress can be placed here this round (10 progress instead if Mendor is committed to the quest).</t>
  </si>
  <si>
    <t>When Revealed: The opposing team searches the encounter deck and discard pile for an enemy, adds it to the staging area, the places a resource on an enemy in play with cost 2 or higher. While this stage is in play, the enemy with a resource gets +2 Û, +2 Ãš, and is immune to player card effects. This stage cannot be defeated while the enemy witha resource is in play. When this stage is defeated, the players win the game.</t>
  </si>
  <si>
    <t>X is equal to the threat level of the player with the highest threat level.Each player's threat cannot be reduced by more than 1 each round. Forced: After the players quest successfully, if 10 or more progress was placed here this phase, reveal the top card of the encounter deck.If the players defeat this stage, they win the game.</t>
  </si>
  <si>
    <t>Forced: At the beginning of the quest phase, discard cards from the top of the encounter deck until a location is discarded. Add that location to the staging area.If the players defeat this stage, they win the game.</t>
  </si>
  <si>
    <t>While The Sorcerer's Tower is in the staging area, it gains: "The players cannot travel or place progress here unless they are at stage 3D. Forced: After a 'when revealed' effect is canceled, reveal the top card of the encounter deck."</t>
  </si>
  <si>
    <t>When Revealed: The opposing team searches the top 5 cards of the encounter deck for a card with cost 1 or less (cost 2 or less if there are two or more players), sets it aside, and shufles the encounter deck. Reveal the set aside card. Its 'when revealed' effects cannot be canceled.</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</si>
  <si>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</si>
  <si>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While The Sorcerer's Tower is in the staging area, each treachery gains Doomed 1. Forced: When the Sorcerer's Tower is explored, shuffle the encounter discard pile into the encounter deck and discard cards from the top until a treachery is discarded. Resolve the 'when revealed' effects on that treachery.</t>
  </si>
  <si>
    <t>When Revealed: The opposing teach searches the top 5 cards of the encounter deck for a card with cost 1 or less (2 or less if there are two or more players), sets it aside, and shuffles the encounter deck. Reveal the set aside card. Its 'when revealed' effects cannot be canceled.</t>
  </si>
  <si>
    <t>The first treachery revealed each round gains Doomed 1 and its 'when revealed' effects cannot be canceled. Forced: After characters are committed to the quest, no more than 5 progress can be placed here this round (10 progress instead if Mendor is committed to the quest).</t>
  </si>
  <si>
    <t>When Revealed: The opposing team searches the top 5 cards of the encounter deck for a card with cost 2 or less (3 or less if there are two or more players), sets it aside, and shuffles the encounter deck. Reveal the set aside card. It's 'when revealed' effects cannot be canceled.</t>
  </si>
  <si>
    <t>Shadow: Either remove 2 progress from the main quest, or return attacking enemy to the staging area.</t>
  </si>
  <si>
    <t>Shadow: Exhaust a character you control.</t>
  </si>
  <si>
    <t>Shadow: Attacking enemy gets +1 Attack. If this attack destroys a character, remove 3 progress from the main quest.</t>
  </si>
  <si>
    <t>Shadow: Attacking enemy makes an additional attack against you after this one.</t>
  </si>
  <si>
    <t>Shadow: Deal 1 damage to the defending character. Until the end of the phase, the defending character gets -1 Ú for each damage on it.</t>
  </si>
  <si>
    <t>Shadow: Defending character cannot ready until the end of the round.</t>
  </si>
  <si>
    <t>Shadow: Attacking enemy gets +1 Attack and +1 Defense until the end of the phase (+2 Attack and +2 Defense instead if at least 5 progress is on the quest).</t>
  </si>
  <si>
    <t>While Dol Guldur's city strength is 0, each Lieutenant enemy loses indestructible. While the players are at stage 3, this card gains: "Forced: After resolving the Forced effect on Dol Guldur, randomly select a stage 3 that was not in play this round and resolve its Forced effect. Then, discard all progress from the current stage 3 and advance to a new stage 3 of your choice." At the end of the round, if Dol Guldur's city strength is 0 and there are no Lieutenant enemies in play, Dol Guldur is captured and the players win the game.</t>
  </si>
  <si>
    <t>While Dol Guldur's city strength is 0, each Lieutenant enemy loses indestructible. While the players are at stage 3, this card gains: "Forced: After resolving the Forced effect on Dol Guldur, the team with Dol Guldur in their staging area resolves the forced effect on the stage 3 that was not in play at any stage this round. Then, each team discards all progress from their stage 3 and advances to a new stage 3 of their choice. Each team must choose a different stage." Response: At the end of the round, a player who controls Host of Lórien or Power of Lórien may give control of that card to another player at any stage. If the last player at a stage is eliminated, the siege falls and the entire group loses the game. At the end of the round, if Dol Guldur's city strength is 0 and there are no Lieutenant enemies in play at each stage, Dol Guldur is captured and the players win the game.</t>
  </si>
  <si>
    <t>Shadow: If attacking enemy is unique, it makes an additional attack against you after this one.</t>
  </si>
  <si>
    <t>Shadow: Raise your threat by 1 for each enemy engaged with you.</t>
  </si>
  <si>
    <t>Shadow: Attacking enemy gets +1 Attack (+2 Attack instead if the defending character has an attachment).</t>
  </si>
  <si>
    <t>Shadow: Defending character does not count it's Defense.</t>
  </si>
  <si>
    <t>Shadow: If you are engaged with an Orc enemy and a Warg enemy, discard a character you control.</t>
  </si>
  <si>
    <t>Shadow: Deal 1 damage to the defending character.</t>
  </si>
  <si>
    <t>Shadow: If this attack destroys a character, reveal the top card of the encounter deck.</t>
  </si>
  <si>
    <t>Shadow: Attacking enemy gets +1 Attack. If this attack destroys a character, raise each player's threat by 1.</t>
  </si>
  <si>
    <t>Shadow: Either reveal an encounter card, or treat this attack as undefended.</t>
  </si>
  <si>
    <t>Shadow: Attacking enemy gets +1 Attack. If this attack destroys a character, return attacking enemy to the staging area.</t>
  </si>
  <si>
    <t>Shadow: Defending character gets -1 Defense for each damage on it.</t>
  </si>
  <si>
    <t>Shadow: Attacking enemy gets +1 Attack (+2 Attack instead if the defending character is damaged).</t>
  </si>
  <si>
    <t>Shadow: If this attack destroys a character, exhaust a character you control.</t>
  </si>
  <si>
    <t>Shadow: Attacking enemy gets +1 Attack for each enemy engaged with you.</t>
  </si>
  <si>
    <t>Shadow: If attacking enemy was engaged this round, it cannot take damage until the end of the round.</t>
  </si>
  <si>
    <t>Shadow: If this attack destroys a character, return the active location to the staging area.</t>
  </si>
  <si>
    <t>Shadow: Attacking enemy gets +1 Attack. Deal it an additional shadow card.</t>
  </si>
  <si>
    <t>Shadow: Each enemy engaged with you gets +1 Attack and +1 Defense until the end of the phase.</t>
  </si>
  <si>
    <t>Shadow: Attacking enemy gets +1 Attack (+2 Attack instead if it has the the Warg trait).</t>
  </si>
  <si>
    <t>Shadow: Discard an attachment from the defending character.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</si>
</sst>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b/>
      <sz val="9"/>
      <color rgb="FFFFC000"/>
      <name val="TimesNewRomanLOTR"/>
      <family val="1"/>
    </font>
    <font>
      <b/>
      <sz val="9"/>
      <color theme="1"/>
      <name val="TimesNewRomanLOTR"/>
      <family val="1"/>
    </font>
    <font>
      <sz val="9"/>
      <color theme="1"/>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sz val="11"/>
      <color rgb="FF000000"/>
      <name val="Calibri"/>
      <family val="2"/>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6">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2" borderId="0" xfId="0" applyFont="1" applyFill="1"/>
    <xf numFmtId="0" fontId="4" fillId="2" borderId="0" xfId="0" applyFont="1" applyFill="1" applyAlignment="1">
      <alignment wrapText="1"/>
    </xf>
    <xf numFmtId="0" fontId="5" fillId="0" borderId="0" xfId="0" applyFont="1"/>
    <xf numFmtId="0" fontId="6" fillId="0" borderId="0" xfId="0" applyFont="1"/>
    <xf numFmtId="0" fontId="6" fillId="0" borderId="0" xfId="0" applyFont="1" applyAlignment="1">
      <alignment wrapText="1"/>
    </xf>
    <xf numFmtId="0" fontId="7" fillId="0" borderId="0" xfId="0" applyFont="1"/>
    <xf numFmtId="0" fontId="4" fillId="2" borderId="0" xfId="0" applyFont="1" applyFill="1" applyAlignment="1">
      <alignment textRotation="180"/>
    </xf>
    <xf numFmtId="0" fontId="8" fillId="0" borderId="0" xfId="0" applyFont="1" applyBorder="1"/>
    <xf numFmtId="0" fontId="9" fillId="0" borderId="0" xfId="0" applyFont="1"/>
    <xf numFmtId="49" fontId="8" fillId="0" borderId="0" xfId="0" applyNumberFormat="1" applyFont="1" applyBorder="1"/>
    <xf numFmtId="0" fontId="0" fillId="0" borderId="0" xfId="0" applyFont="1"/>
    <xf numFmtId="0" fontId="0" fillId="0" borderId="0" xfId="0" quotePrefix="1"/>
    <xf numFmtId="0" fontId="10" fillId="2" borderId="0" xfId="0" applyFont="1" applyFill="1"/>
    <xf numFmtId="0" fontId="4" fillId="2" borderId="0" xfId="0" applyFont="1" applyFill="1" applyAlignment="1"/>
    <xf numFmtId="0" fontId="6" fillId="3" borderId="1" xfId="0" applyNumberFormat="1" applyFont="1" applyFill="1" applyBorder="1" applyAlignment="1">
      <alignment horizontal="center"/>
    </xf>
    <xf numFmtId="0" fontId="6" fillId="4" borderId="1" xfId="0" applyNumberFormat="1" applyFont="1" applyFill="1" applyBorder="1" applyAlignment="1">
      <alignment horizontal="center"/>
    </xf>
    <xf numFmtId="0" fontId="6" fillId="5" borderId="1" xfId="0" applyNumberFormat="1" applyFont="1" applyFill="1" applyBorder="1" applyAlignment="1">
      <alignment horizontal="center"/>
    </xf>
    <xf numFmtId="0" fontId="6" fillId="6" borderId="1" xfId="0" applyNumberFormat="1" applyFont="1" applyFill="1" applyBorder="1" applyAlignment="1">
      <alignment horizontal="center"/>
    </xf>
    <xf numFmtId="0" fontId="6" fillId="7" borderId="1" xfId="0" applyNumberFormat="1" applyFont="1" applyFill="1" applyBorder="1" applyAlignment="1">
      <alignment horizontal="center"/>
    </xf>
    <xf numFmtId="0" fontId="6" fillId="8" borderId="1" xfId="0" applyFont="1" applyFill="1" applyBorder="1" applyAlignment="1">
      <alignment horizontal="center" wrapText="1"/>
    </xf>
    <xf numFmtId="0" fontId="6" fillId="9" borderId="1" xfId="0" applyFont="1" applyFill="1" applyBorder="1"/>
    <xf numFmtId="0" fontId="11" fillId="2" borderId="2" xfId="0" applyFont="1" applyFill="1" applyBorder="1"/>
    <xf numFmtId="0" fontId="12" fillId="0" borderId="2" xfId="0" applyFont="1" applyBorder="1" applyAlignment="1">
      <alignment horizontal="center"/>
    </xf>
    <xf numFmtId="0" fontId="13" fillId="0" borderId="2" xfId="0" applyFont="1" applyFill="1" applyBorder="1" applyAlignment="1">
      <alignment horizontal="center"/>
    </xf>
    <xf numFmtId="0" fontId="11" fillId="2" borderId="2" xfId="0" applyFont="1" applyFill="1" applyBorder="1" applyAlignment="1">
      <alignment horizontal="center"/>
    </xf>
    <xf numFmtId="0" fontId="4" fillId="10" borderId="0" xfId="0" applyFont="1" applyFill="1"/>
    <xf numFmtId="0" fontId="4" fillId="10" borderId="0" xfId="0" applyFont="1" applyFill="1" applyAlignment="1">
      <alignment textRotation="180"/>
    </xf>
    <xf numFmtId="0" fontId="4" fillId="10" borderId="0" xfId="0" applyFont="1" applyFill="1" applyAlignment="1"/>
    <xf numFmtId="0" fontId="4" fillId="10" borderId="0" xfId="0" applyFont="1" applyFill="1" applyAlignment="1">
      <alignment wrapText="1"/>
    </xf>
    <xf numFmtId="0" fontId="4" fillId="10" borderId="1" xfId="0" applyNumberFormat="1" applyFont="1" applyFill="1" applyBorder="1" applyAlignment="1">
      <alignment horizontal="center" textRotation="180"/>
    </xf>
    <xf numFmtId="0" fontId="4" fillId="10" borderId="1" xfId="0" applyFont="1" applyFill="1" applyBorder="1" applyAlignment="1">
      <alignment horizontal="center" textRotation="180" wrapText="1"/>
    </xf>
    <xf numFmtId="0" fontId="4" fillId="10" borderId="1" xfId="0" applyFont="1" applyFill="1" applyBorder="1" applyAlignment="1">
      <alignment textRotation="180"/>
    </xf>
    <xf numFmtId="11" fontId="6" fillId="0" borderId="0" xfId="0" applyNumberFormat="1" applyFont="1"/>
    <xf numFmtId="0" fontId="4" fillId="2" borderId="1" xfId="0" applyNumberFormat="1" applyFont="1" applyFill="1" applyBorder="1" applyAlignment="1">
      <alignment horizontal="center" textRotation="180"/>
    </xf>
    <xf numFmtId="0" fontId="4" fillId="2" borderId="1" xfId="0" applyFont="1" applyFill="1" applyBorder="1" applyAlignment="1">
      <alignment horizontal="center" textRotation="180" wrapText="1"/>
    </xf>
    <xf numFmtId="0" fontId="4" fillId="2" borderId="1" xfId="0" applyFont="1" applyFill="1" applyBorder="1" applyAlignment="1">
      <alignment textRotation="180"/>
    </xf>
    <xf numFmtId="0" fontId="6" fillId="3" borderId="1" xfId="0" applyFont="1" applyFill="1" applyBorder="1" applyAlignment="1">
      <alignment horizontal="center"/>
    </xf>
    <xf numFmtId="0" fontId="6" fillId="4" borderId="1" xfId="0" applyFont="1" applyFill="1" applyBorder="1" applyAlignment="1">
      <alignment horizontal="center"/>
    </xf>
    <xf numFmtId="0" fontId="6" fillId="5" borderId="1" xfId="0" applyFont="1" applyFill="1" applyBorder="1" applyAlignment="1">
      <alignment horizontal="center"/>
    </xf>
    <xf numFmtId="0" fontId="6" fillId="6" borderId="1" xfId="0" applyFont="1" applyFill="1" applyBorder="1" applyAlignment="1">
      <alignment horizontal="center"/>
    </xf>
    <xf numFmtId="0" fontId="6" fillId="7" borderId="1" xfId="0" applyFont="1" applyFill="1" applyBorder="1" applyAlignment="1">
      <alignment horizontal="center"/>
    </xf>
    <xf numFmtId="0" fontId="6" fillId="8" borderId="1" xfId="0" applyFont="1" applyFill="1" applyBorder="1" applyAlignment="1">
      <alignment horizontal="center"/>
    </xf>
    <xf numFmtId="0" fontId="6" fillId="9" borderId="1" xfId="0" applyFont="1" applyFill="1" applyBorder="1" applyAlignment="1">
      <alignment wrapText="1"/>
    </xf>
    <xf numFmtId="0" fontId="6" fillId="3" borderId="1" xfId="0" applyFont="1" applyFill="1" applyBorder="1"/>
    <xf numFmtId="0" fontId="6" fillId="4" borderId="1" xfId="0" applyFont="1" applyFill="1" applyBorder="1"/>
    <xf numFmtId="0" fontId="6" fillId="5" borderId="1" xfId="0" applyFont="1" applyFill="1" applyBorder="1"/>
    <xf numFmtId="0" fontId="6" fillId="6" borderId="1" xfId="0" applyFont="1" applyFill="1" applyBorder="1"/>
    <xf numFmtId="0" fontId="6" fillId="7" borderId="1" xfId="0" applyFont="1" applyFill="1" applyBorder="1"/>
    <xf numFmtId="0" fontId="6" fillId="8" borderId="1" xfId="0" applyFont="1" applyFill="1" applyBorder="1"/>
    <xf numFmtId="0" fontId="6" fillId="0" borderId="0" xfId="0" applyFont="1" applyFill="1"/>
    <xf numFmtId="0" fontId="4" fillId="2" borderId="0" xfId="0" applyFont="1" applyFill="1" applyAlignment="1">
      <alignment horizontal="center" textRotation="180"/>
    </xf>
    <xf numFmtId="0" fontId="6" fillId="0" borderId="0" xfId="0" applyFont="1" applyAlignment="1">
      <alignment horizontal="center"/>
    </xf>
    <xf numFmtId="0" fontId="11" fillId="2" borderId="2" xfId="0" applyFont="1" applyFill="1" applyBorder="1" applyAlignment="1">
      <alignment horizontal="center"/>
    </xf>
    <xf numFmtId="0" fontId="11" fillId="2" borderId="3" xfId="0" applyFont="1" applyFill="1" applyBorder="1" applyAlignment="1">
      <alignment horizontal="center"/>
    </xf>
    <xf numFmtId="0" fontId="11" fillId="2" borderId="4" xfId="0" applyFont="1" applyFill="1" applyBorder="1" applyAlignment="1">
      <alignment horizontal="center"/>
    </xf>
    <xf numFmtId="0" fontId="11" fillId="2" borderId="5" xfId="0" applyFont="1" applyFill="1" applyBorder="1" applyAlignment="1">
      <alignment horizontal="center"/>
    </xf>
  </cellXfs>
  <cellStyles count="1">
    <cellStyle name="Normal" xfId="0" builtinId="0"/>
  </cellStyles>
  <dxfs count="9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0</xdr:col>
          <xdr:colOff>1647825</xdr:colOff>
          <xdr:row>0</xdr:row>
          <xdr:rowOff>552450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0</xdr:row>
          <xdr:rowOff>171450</xdr:rowOff>
        </xdr:from>
        <xdr:to>
          <xdr:col>1</xdr:col>
          <xdr:colOff>1533525</xdr:colOff>
          <xdr:row>0</xdr:row>
          <xdr:rowOff>533400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files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om Howard" refreshedDate="42063.572993865739" missingItemsLimit="0" createdVersion="3" refreshedVersion="5" minRefreshableVersion="3" recordCount="90" xr:uid="{00000000-000A-0000-FFFF-FFFF0000000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6"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5"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Q91" tableType="xml" totalsRowShown="0" connectionId="1">
  <autoFilter ref="A1:Q91" xr:uid="{00000000-0009-0000-0100-000001000000}"/>
  <tableColumns count="17">
    <tableColumn id="1" xr3:uid="{00000000-0010-0000-0000-000001000000}" uniqueName="name" name="name">
      <xmlColumnPr mapId="1" xpath="/set/@name" xmlDataType="string"/>
    </tableColumn>
    <tableColumn id="2" xr3:uid="{00000000-0010-0000-0000-000002000000}" uniqueName="id" name="id">
      <xmlColumnPr mapId="1" xpath="/set/@id" xmlDataType="string"/>
    </tableColumn>
    <tableColumn id="3" xr3:uid="{00000000-0010-0000-0000-000003000000}" uniqueName="gameId" name="gameId">
      <xmlColumnPr mapId="1" xpath="/set/@gameId" xmlDataType="string"/>
    </tableColumn>
    <tableColumn id="4" xr3:uid="{00000000-0010-0000-0000-000004000000}" uniqueName="gameVersion" name="gameVersion">
      <xmlColumnPr mapId="1" xpath="/set/@gameVersion" xmlDataType="string"/>
    </tableColumn>
    <tableColumn id="5" xr3:uid="{00000000-0010-0000-0000-000005000000}" uniqueName="version" name="version">
      <xmlColumnPr mapId="1" xpath="/set/@version" xmlDataType="string"/>
    </tableColumn>
    <tableColumn id="6" xr3:uid="{00000000-0010-0000-0000-000006000000}" uniqueName="id" name="id2">
      <xmlColumnPr mapId="1" xpath="/set/cards/card/@id" xmlDataType="string"/>
    </tableColumn>
    <tableColumn id="7" xr3:uid="{00000000-0010-0000-0000-000007000000}" uniqueName="name" name="name3">
      <xmlColumnPr mapId="1" xpath="/set/cards/card/@name" xmlDataType="string"/>
    </tableColumn>
    <tableColumn id="8" xr3:uid="{00000000-0010-0000-0000-000008000000}" uniqueName="name" name="name4">
      <xmlColumnPr mapId="1" xpath="/set/cards/card/property/@name" xmlDataType="string"/>
    </tableColumn>
    <tableColumn id="9" xr3:uid="{00000000-0010-0000-0000-000009000000}" uniqueName="value" name="value">
      <xmlColumnPr mapId="1" xpath="/set/cards/card/property/@value" xmlDataType="string"/>
    </tableColumn>
    <tableColumn id="10" xr3:uid="{00000000-0010-0000-0000-00000A000000}" uniqueName="name" name="name5">
      <xmlColumnPr mapId="1" xpath="/set/cards/card/alternate/@name" xmlDataType="string"/>
    </tableColumn>
    <tableColumn id="11" xr3:uid="{00000000-0010-0000-0000-00000B000000}" uniqueName="type" name="type">
      <xmlColumnPr mapId="1" xpath="/set/cards/card/alternate/@type" xmlDataType="string"/>
    </tableColumn>
    <tableColumn id="12" xr3:uid="{00000000-0010-0000-0000-00000C000000}" uniqueName="name" name="name6">
      <xmlColumnPr mapId="1" xpath="/set/cards/card/alternate/property/@name" xmlDataType="string"/>
    </tableColumn>
    <tableColumn id="13" xr3:uid="{00000000-0010-0000-0000-00000D000000}" uniqueName="value" name="value7">
      <xmlColumnPr mapId="1" xpath="/set/cards/card/alternate/property/@value" xmlDataType="string"/>
    </tableColumn>
    <tableColumn id="14" xr3:uid="{00000000-0010-0000-0000-00000E000000}" uniqueName="14" name="value8" dataDxfId="94">
      <calculatedColumnFormula>Table1[[#This Row],[id2]]&amp;Table1[[#This Row],[name4]]</calculatedColumnFormula>
    </tableColumn>
    <tableColumn id="15" xr3:uid="{00000000-0010-0000-0000-00000F000000}" uniqueName="15" name="value9" dataDxfId="93">
      <calculatedColumnFormula>IF(Table1[[#This Row],[value]]="","",Table1[[#This Row],[value]])</calculatedColumnFormula>
    </tableColumn>
    <tableColumn id="16" xr3:uid="{00000000-0010-0000-0000-000010000000}" uniqueName="16" name="value10" dataDxfId="92">
      <calculatedColumnFormula>Table1[[#This Row],[id2]]&amp;Table1[[#This Row],[name6]]</calculatedColumnFormula>
    </tableColumn>
    <tableColumn id="17" xr3:uid="{00000000-0010-0000-0000-000011000000}" uniqueName="17" name="value11" dataDxfId="91">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91"/>
  <sheetViews>
    <sheetView workbookViewId="0">
      <selection activeCell="A2" sqref="A2"/>
    </sheetView>
  </sheetViews>
  <sheetFormatPr defaultRowHeight="15"/>
  <cols>
    <col min="1" max="1" width="8.28515625" customWidth="1"/>
    <col min="2" max="2" width="36.7109375" bestFit="1" customWidth="1"/>
    <col min="3" max="3" width="36.5703125" bestFit="1" customWidth="1"/>
    <col min="4" max="4" width="15" bestFit="1" customWidth="1"/>
    <col min="5" max="5" width="9.85546875" bestFit="1" customWidth="1"/>
    <col min="6" max="6" width="37.42578125" bestFit="1" customWidth="1"/>
    <col min="7" max="7" width="28.28515625" bestFit="1" customWidth="1"/>
    <col min="8" max="8" width="16.42578125" bestFit="1" customWidth="1"/>
    <col min="9" max="9" width="81.140625" customWidth="1"/>
    <col min="10" max="10" width="28.140625" bestFit="1" customWidth="1"/>
    <col min="11" max="11" width="7.28515625" bestFit="1" customWidth="1"/>
    <col min="12" max="12" width="12.28515625" customWidth="1"/>
    <col min="13" max="13" width="9.140625" customWidth="1"/>
    <col min="14" max="14" width="45.85546875" customWidth="1"/>
    <col min="15" max="15" width="81.140625" customWidth="1"/>
    <col min="16" max="16" width="36.28515625" customWidth="1"/>
    <col min="17" max="17" width="10.14062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s="4" t="str">
        <f>Table1[[#This Row],[id2]]&amp;Table1[[#This Row],[name4]]</f>
        <v>cd20023c-210a-498f-9183-65c461183c4cQuantity</v>
      </c>
      <c r="O2" s="4" t="str">
        <f>IF(Table1[[#This Row],[value]]="","",Table1[[#This Row],[value]])</f>
        <v>1</v>
      </c>
      <c r="P2" s="4" t="str">
        <f>Table1[[#This Row],[id2]]&amp;Table1[[#This Row],[name6]]</f>
        <v>cd20023c-210a-498f-9183-65c461183c4c</v>
      </c>
      <c r="Q2" s="4"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s="4" t="str">
        <f>Table1[[#This Row],[id2]]&amp;Table1[[#This Row],[name4]]</f>
        <v>cd20023c-210a-498f-9183-65c461183c4cUnique</v>
      </c>
      <c r="O3" s="4" t="str">
        <f>IF(Table1[[#This Row],[value]]="","",Table1[[#This Row],[value]])</f>
        <v>‰</v>
      </c>
      <c r="P3" s="4" t="str">
        <f>Table1[[#This Row],[id2]]&amp;Table1[[#This Row],[name6]]</f>
        <v>cd20023c-210a-498f-9183-65c461183c4c</v>
      </c>
      <c r="Q3" s="4"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s="4" t="str">
        <f>Table1[[#This Row],[id2]]&amp;Table1[[#This Row],[name4]]</f>
        <v>cd20023c-210a-498f-9183-65c461183c4cType</v>
      </c>
      <c r="O4" s="4" t="str">
        <f>IF(Table1[[#This Row],[value]]="","",Table1[[#This Row],[value]])</f>
        <v>Hero</v>
      </c>
      <c r="P4" s="4" t="str">
        <f>Table1[[#This Row],[id2]]&amp;Table1[[#This Row],[name6]]</f>
        <v>cd20023c-210a-498f-9183-65c461183c4c</v>
      </c>
      <c r="Q4" s="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s="4" t="str">
        <f>Table1[[#This Row],[id2]]&amp;Table1[[#This Row],[name4]]</f>
        <v>cd20023c-210a-498f-9183-65c461183c4cSphere</v>
      </c>
      <c r="O5" s="4" t="str">
        <f>IF(Table1[[#This Row],[value]]="","",Table1[[#This Row],[value]])</f>
        <v>Leadership</v>
      </c>
      <c r="P5" s="4" t="str">
        <f>Table1[[#This Row],[id2]]&amp;Table1[[#This Row],[name6]]</f>
        <v>cd20023c-210a-498f-9183-65c461183c4c</v>
      </c>
      <c r="Q5" s="4"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s="4" t="str">
        <f>Table1[[#This Row],[id2]]&amp;Table1[[#This Row],[name4]]</f>
        <v>cd20023c-210a-498f-9183-65c461183c4cTraits</v>
      </c>
      <c r="O6" s="4" t="str">
        <f>IF(Table1[[#This Row],[value]]="","",Table1[[#This Row],[value]])</f>
        <v>Dunedain. Noble. Ranger.</v>
      </c>
      <c r="P6" s="4" t="str">
        <f>Table1[[#This Row],[id2]]&amp;Table1[[#This Row],[name6]]</f>
        <v>cd20023c-210a-498f-9183-65c461183c4c</v>
      </c>
      <c r="Q6" s="4"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s="4" t="str">
        <f>Table1[[#This Row],[id2]]&amp;Table1[[#This Row],[name4]]</f>
        <v>cd20023c-210a-498f-9183-65c461183c4cKeywords</v>
      </c>
      <c r="O7" s="4" t="str">
        <f>IF(Table1[[#This Row],[value]]="","",Table1[[#This Row],[value]])</f>
        <v>Sentinel.</v>
      </c>
      <c r="P7" s="4" t="str">
        <f>Table1[[#This Row],[id2]]&amp;Table1[[#This Row],[name6]]</f>
        <v>cd20023c-210a-498f-9183-65c461183c4c</v>
      </c>
      <c r="Q7" s="4"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s="4" t="str">
        <f>Table1[[#This Row],[id2]]&amp;Table1[[#This Row],[name4]]</f>
        <v>cd20023c-210a-498f-9183-65c461183c4cCost</v>
      </c>
      <c r="O8" s="4" t="str">
        <f>IF(Table1[[#This Row],[value]]="","",Table1[[#This Row],[value]])</f>
        <v>12</v>
      </c>
      <c r="P8" s="4" t="str">
        <f>Table1[[#This Row],[id2]]&amp;Table1[[#This Row],[name6]]</f>
        <v>cd20023c-210a-498f-9183-65c461183c4c</v>
      </c>
      <c r="Q8" s="4"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s="4" t="str">
        <f>Table1[[#This Row],[id2]]&amp;Table1[[#This Row],[name4]]</f>
        <v>cd20023c-210a-498f-9183-65c461183c4cWillpower</v>
      </c>
      <c r="O9" s="4" t="str">
        <f>IF(Table1[[#This Row],[value]]="","",Table1[[#This Row],[value]])</f>
        <v>2</v>
      </c>
      <c r="P9" s="4" t="str">
        <f>Table1[[#This Row],[id2]]&amp;Table1[[#This Row],[name6]]</f>
        <v>cd20023c-210a-498f-9183-65c461183c4c</v>
      </c>
      <c r="Q9" s="4"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s="4" t="str">
        <f>Table1[[#This Row],[id2]]&amp;Table1[[#This Row],[name4]]</f>
        <v>cd20023c-210a-498f-9183-65c461183c4cAttack</v>
      </c>
      <c r="O10" s="4" t="str">
        <f>IF(Table1[[#This Row],[value]]="","",Table1[[#This Row],[value]])</f>
        <v>3</v>
      </c>
      <c r="P10" s="4" t="str">
        <f>Table1[[#This Row],[id2]]&amp;Table1[[#This Row],[name6]]</f>
        <v>cd20023c-210a-498f-9183-65c461183c4c</v>
      </c>
      <c r="Q10" s="4"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s="4" t="str">
        <f>Table1[[#This Row],[id2]]&amp;Table1[[#This Row],[name4]]</f>
        <v>cd20023c-210a-498f-9183-65c461183c4cDefense</v>
      </c>
      <c r="O11" s="4" t="str">
        <f>IF(Table1[[#This Row],[value]]="","",Table1[[#This Row],[value]])</f>
        <v>2</v>
      </c>
      <c r="P11" s="4" t="str">
        <f>Table1[[#This Row],[id2]]&amp;Table1[[#This Row],[name6]]</f>
        <v>cd20023c-210a-498f-9183-65c461183c4c</v>
      </c>
      <c r="Q11" s="4"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s="4" t="str">
        <f>Table1[[#This Row],[id2]]&amp;Table1[[#This Row],[name4]]</f>
        <v>cd20023c-210a-498f-9183-65c461183c4cHealth</v>
      </c>
      <c r="O12" s="4" t="str">
        <f>IF(Table1[[#This Row],[value]]="","",Table1[[#This Row],[value]])</f>
        <v>5</v>
      </c>
      <c r="P12" s="4" t="str">
        <f>Table1[[#This Row],[id2]]&amp;Table1[[#This Row],[name6]]</f>
        <v>cd20023c-210a-498f-9183-65c461183c4c</v>
      </c>
      <c r="Q12" s="4" t="str">
        <f>IF(Table1[[#This Row],[value7]]="","",Table1[[#This Row],[value7]])</f>
        <v/>
      </c>
    </row>
    <row r="13" spans="1:17" ht="90">
      <c r="A13" s="1" t="s">
        <v>115</v>
      </c>
      <c r="B13" s="1" t="s">
        <v>80</v>
      </c>
      <c r="C13" s="1" t="s">
        <v>13</v>
      </c>
      <c r="D13" s="1" t="s">
        <v>56</v>
      </c>
      <c r="E13" s="1" t="s">
        <v>79</v>
      </c>
      <c r="F13" s="1" t="s">
        <v>81</v>
      </c>
      <c r="G13" s="1" t="s">
        <v>86</v>
      </c>
      <c r="H13" s="1" t="s">
        <v>25</v>
      </c>
      <c r="I13" s="2" t="s">
        <v>94</v>
      </c>
      <c r="J13" s="1"/>
      <c r="K13" s="1"/>
      <c r="L13" s="1"/>
      <c r="M13" s="1"/>
      <c r="N13" s="4" t="str">
        <f>Table1[[#This Row],[id2]]&amp;Table1[[#This Row],[name4]]</f>
        <v>cd20023c-210a-498f-9183-65c461183c4cText</v>
      </c>
      <c r="O13" s="4" t="str">
        <f>IF(Table1[[#This Row],[value]]="","",Table1[[#This Row],[value]])</f>
        <v>Response: After Aragorn commits to a quest, spend 1 resource from his resource pool to ready him. 
You can now use "Quotes" &amp; Ampersands!
hit "ALT+Enter" for 
Newlines!</v>
      </c>
      <c r="P13" s="4" t="str">
        <f>Table1[[#This Row],[id2]]&amp;Table1[[#This Row],[name6]]</f>
        <v>cd20023c-210a-498f-9183-65c461183c4c</v>
      </c>
      <c r="Q13" s="4"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s="4" t="str">
        <f>Table1[[#This Row],[id2]]&amp;Table1[[#This Row],[name4]]</f>
        <v>ec979e5e-270f-41dd-9ea4-de77431a423aQuantity</v>
      </c>
      <c r="O14" s="4" t="str">
        <f>IF(Table1[[#This Row],[value]]="","",Table1[[#This Row],[value]])</f>
        <v>2</v>
      </c>
      <c r="P14" s="4" t="str">
        <f>Table1[[#This Row],[id2]]&amp;Table1[[#This Row],[name6]]</f>
        <v>ec979e5e-270f-41dd-9ea4-de77431a423a</v>
      </c>
      <c r="Q14" s="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s="4" t="str">
        <f>Table1[[#This Row],[id2]]&amp;Table1[[#This Row],[name4]]</f>
        <v>ec979e5e-270f-41dd-9ea4-de77431a423aType</v>
      </c>
      <c r="O15" s="4" t="str">
        <f>IF(Table1[[#This Row],[value]]="","",Table1[[#This Row],[value]])</f>
        <v>Attachment</v>
      </c>
      <c r="P15" s="4" t="str">
        <f>Table1[[#This Row],[id2]]&amp;Table1[[#This Row],[name6]]</f>
        <v>ec979e5e-270f-41dd-9ea4-de77431a423a</v>
      </c>
      <c r="Q15" s="4"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s="4" t="str">
        <f>Table1[[#This Row],[id2]]&amp;Table1[[#This Row],[name4]]</f>
        <v>ec979e5e-270f-41dd-9ea4-de77431a423aSphere</v>
      </c>
      <c r="O16" s="4" t="str">
        <f>IF(Table1[[#This Row],[value]]="","",Table1[[#This Row],[value]])</f>
        <v>Lore</v>
      </c>
      <c r="P16" s="4" t="str">
        <f>Table1[[#This Row],[id2]]&amp;Table1[[#This Row],[name6]]</f>
        <v>ec979e5e-270f-41dd-9ea4-de77431a423a</v>
      </c>
      <c r="Q16" s="4"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s="4" t="str">
        <f>Table1[[#This Row],[id2]]&amp;Table1[[#This Row],[name4]]</f>
        <v>ec979e5e-270f-41dd-9ea4-de77431a423aTraits</v>
      </c>
      <c r="O17" s="4" t="str">
        <f>IF(Table1[[#This Row],[value]]="","",Table1[[#This Row],[value]])</f>
        <v>Title.</v>
      </c>
      <c r="P17" s="4" t="str">
        <f>Table1[[#This Row],[id2]]&amp;Table1[[#This Row],[name6]]</f>
        <v>ec979e5e-270f-41dd-9ea4-de77431a423a</v>
      </c>
      <c r="Q17" s="4"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s="4" t="str">
        <f>Table1[[#This Row],[id2]]&amp;Table1[[#This Row],[name4]]</f>
        <v>ec979e5e-270f-41dd-9ea4-de77431a423aKeywords</v>
      </c>
      <c r="O18" s="4" t="str">
        <f>IF(Table1[[#This Row],[value]]="","",Table1[[#This Row],[value]])</f>
        <v>Attach to a hero.</v>
      </c>
      <c r="P18" s="4" t="str">
        <f>Table1[[#This Row],[id2]]&amp;Table1[[#This Row],[name6]]</f>
        <v>ec979e5e-270f-41dd-9ea4-de77431a423a</v>
      </c>
      <c r="Q18" s="4"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s="4" t="str">
        <f>Table1[[#This Row],[id2]]&amp;Table1[[#This Row],[name4]]</f>
        <v>ec979e5e-270f-41dd-9ea4-de77431a423aCost</v>
      </c>
      <c r="O19" s="4" t="str">
        <f>IF(Table1[[#This Row],[value]]="","",Table1[[#This Row],[value]])</f>
        <v>1</v>
      </c>
      <c r="P19" s="4" t="str">
        <f>Table1[[#This Row],[id2]]&amp;Table1[[#This Row],[name6]]</f>
        <v>ec979e5e-270f-41dd-9ea4-de77431a423a</v>
      </c>
      <c r="Q19" s="4"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s="4" t="str">
        <f>Table1[[#This Row],[id2]]&amp;Table1[[#This Row],[name4]]</f>
        <v>ec979e5e-270f-41dd-9ea4-de77431a423aText</v>
      </c>
      <c r="O20" s="4" t="str">
        <f>IF(Table1[[#This Row],[value]]="","",Table1[[#This Row],[value]])</f>
        <v>Action: Discard a card from your hand to give attached hero +1 Ú or +1 Ò until the end of the phase. Limit 3 times per phase.</v>
      </c>
      <c r="P20" s="4" t="str">
        <f>Table1[[#This Row],[id2]]&amp;Table1[[#This Row],[name6]]</f>
        <v>ec979e5e-270f-41dd-9ea4-de77431a423a</v>
      </c>
      <c r="Q20" s="4"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s="4" t="str">
        <f>Table1[[#This Row],[id2]]&amp;Table1[[#This Row],[name4]]</f>
        <v>13c9bc79-dee5-47a6-8649-ddff6a753bf6Quantity</v>
      </c>
      <c r="O21" s="4" t="str">
        <f>IF(Table1[[#This Row],[value]]="","",Table1[[#This Row],[value]])</f>
        <v>1</v>
      </c>
      <c r="P21" s="4" t="str">
        <f>Table1[[#This Row],[id2]]&amp;Table1[[#This Row],[name6]]</f>
        <v>13c9bc79-dee5-47a6-8649-ddff6a753bf6</v>
      </c>
      <c r="Q21" s="4"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s="4" t="str">
        <f>Table1[[#This Row],[id2]]&amp;Table1[[#This Row],[name4]]</f>
        <v>13c9bc79-dee5-47a6-8649-ddff6a753bf6Encounter Set</v>
      </c>
      <c r="O22" s="4" t="str">
        <f>IF(Table1[[#This Row],[value]]="","",Table1[[#This Row],[value]])</f>
        <v>Spiders of Mirkwood</v>
      </c>
      <c r="P22" s="4" t="str">
        <f>Table1[[#This Row],[id2]]&amp;Table1[[#This Row],[name6]]</f>
        <v>13c9bc79-dee5-47a6-8649-ddff6a753bf6</v>
      </c>
      <c r="Q22" s="4"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s="4" t="str">
        <f>Table1[[#This Row],[id2]]&amp;Table1[[#This Row],[name4]]</f>
        <v>13c9bc79-dee5-47a6-8649-ddff6a753bf6Type</v>
      </c>
      <c r="O23" s="4" t="str">
        <f>IF(Table1[[#This Row],[value]]="","",Table1[[#This Row],[value]])</f>
        <v>Enemy</v>
      </c>
      <c r="P23" s="4" t="str">
        <f>Table1[[#This Row],[id2]]&amp;Table1[[#This Row],[name6]]</f>
        <v>13c9bc79-dee5-47a6-8649-ddff6a753bf6</v>
      </c>
      <c r="Q23" s="4"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s="4" t="str">
        <f>Table1[[#This Row],[id2]]&amp;Table1[[#This Row],[name4]]</f>
        <v>13c9bc79-dee5-47a6-8649-ddff6a753bf6Traits</v>
      </c>
      <c r="O24" s="4" t="str">
        <f>IF(Table1[[#This Row],[value]]="","",Table1[[#This Row],[value]])</f>
        <v>Creature. Spider.</v>
      </c>
      <c r="P24" s="4" t="str">
        <f>Table1[[#This Row],[id2]]&amp;Table1[[#This Row],[name6]]</f>
        <v>13c9bc79-dee5-47a6-8649-ddff6a753bf6</v>
      </c>
      <c r="Q24" s="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s="4" t="str">
        <f>Table1[[#This Row],[id2]]&amp;Table1[[#This Row],[name4]]</f>
        <v>13c9bc79-dee5-47a6-8649-ddff6a753bf6Engagement Cost</v>
      </c>
      <c r="O25" s="4" t="str">
        <f>IF(Table1[[#This Row],[value]]="","",Table1[[#This Row],[value]])</f>
        <v>32</v>
      </c>
      <c r="P25" s="4" t="str">
        <f>Table1[[#This Row],[id2]]&amp;Table1[[#This Row],[name6]]</f>
        <v>13c9bc79-dee5-47a6-8649-ddff6a753bf6</v>
      </c>
      <c r="Q25" s="4"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s="4" t="str">
        <f>Table1[[#This Row],[id2]]&amp;Table1[[#This Row],[name4]]</f>
        <v>13c9bc79-dee5-47a6-8649-ddff6a753bf6Threat</v>
      </c>
      <c r="O26" s="4" t="str">
        <f>IF(Table1[[#This Row],[value]]="","",Table1[[#This Row],[value]])</f>
        <v>3</v>
      </c>
      <c r="P26" s="4" t="str">
        <f>Table1[[#This Row],[id2]]&amp;Table1[[#This Row],[name6]]</f>
        <v>13c9bc79-dee5-47a6-8649-ddff6a753bf6</v>
      </c>
      <c r="Q26" s="4"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s="4" t="str">
        <f>Table1[[#This Row],[id2]]&amp;Table1[[#This Row],[name4]]</f>
        <v>13c9bc79-dee5-47a6-8649-ddff6a753bf6Attack</v>
      </c>
      <c r="O27" s="4" t="str">
        <f>IF(Table1[[#This Row],[value]]="","",Table1[[#This Row],[value]])</f>
        <v>5</v>
      </c>
      <c r="P27" s="4" t="str">
        <f>Table1[[#This Row],[id2]]&amp;Table1[[#This Row],[name6]]</f>
        <v>13c9bc79-dee5-47a6-8649-ddff6a753bf6</v>
      </c>
      <c r="Q27" s="4"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s="4" t="str">
        <f>Table1[[#This Row],[id2]]&amp;Table1[[#This Row],[name4]]</f>
        <v>13c9bc79-dee5-47a6-8649-ddff6a753bf6Defense</v>
      </c>
      <c r="O28" s="4" t="str">
        <f>IF(Table1[[#This Row],[value]]="","",Table1[[#This Row],[value]])</f>
        <v>2</v>
      </c>
      <c r="P28" s="4" t="str">
        <f>Table1[[#This Row],[id2]]&amp;Table1[[#This Row],[name6]]</f>
        <v>13c9bc79-dee5-47a6-8649-ddff6a753bf6</v>
      </c>
      <c r="Q28" s="4"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s="4" t="str">
        <f>Table1[[#This Row],[id2]]&amp;Table1[[#This Row],[name4]]</f>
        <v>13c9bc79-dee5-47a6-8649-ddff6a753bf6Health</v>
      </c>
      <c r="O29" s="4" t="str">
        <f>IF(Table1[[#This Row],[value]]="","",Table1[[#This Row],[value]])</f>
        <v>9</v>
      </c>
      <c r="P29" s="4" t="str">
        <f>Table1[[#This Row],[id2]]&amp;Table1[[#This Row],[name6]]</f>
        <v>13c9bc79-dee5-47a6-8649-ddff6a753bf6</v>
      </c>
      <c r="Q29" s="4"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s="4" t="str">
        <f>Table1[[#This Row],[id2]]&amp;Table1[[#This Row],[name4]]</f>
        <v>13c9bc79-dee5-47a6-8649-ddff6a753bf6Text</v>
      </c>
      <c r="O30" s="4" t="str">
        <f>IF(Table1[[#This Row],[value]]="","",Table1[[#This Row],[value]])</f>
        <v>When Revealed: Each character currently committed to a quest gets -1 Ò until the end of the phase.</v>
      </c>
      <c r="P30" s="4" t="str">
        <f>Table1[[#This Row],[id2]]&amp;Table1[[#This Row],[name6]]</f>
        <v>13c9bc79-dee5-47a6-8649-ddff6a753bf6</v>
      </c>
      <c r="Q30" s="4"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s="4" t="str">
        <f>Table1[[#This Row],[id2]]&amp;Table1[[#This Row],[name4]]</f>
        <v>13c9bc79-dee5-47a6-8649-ddff6a753bf6Shadow</v>
      </c>
      <c r="O31" s="4" t="str">
        <f>IF(Table1[[#This Row],[value]]="","",Table1[[#This Row],[value]])</f>
        <v>Shadow: Raise defending player's threat by 4. (Raise defending player's threat by 8 instead if this attack is undefended.)</v>
      </c>
      <c r="P31" s="4" t="str">
        <f>Table1[[#This Row],[id2]]&amp;Table1[[#This Row],[name6]]</f>
        <v>13c9bc79-dee5-47a6-8649-ddff6a753bf6</v>
      </c>
      <c r="Q31" s="4"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s="4" t="str">
        <f>Table1[[#This Row],[id2]]&amp;Table1[[#This Row],[name4]]</f>
        <v>bff0cd7a-8fe5-4d18-91e9-d3dbf885b01cQuantity</v>
      </c>
      <c r="O32" s="4" t="str">
        <f>IF(Table1[[#This Row],[value]]="","",Table1[[#This Row],[value]])</f>
        <v>2</v>
      </c>
      <c r="P32" s="4" t="str">
        <f>Table1[[#This Row],[id2]]&amp;Table1[[#This Row],[name6]]</f>
        <v>bff0cd7a-8fe5-4d18-91e9-d3dbf885b01c</v>
      </c>
      <c r="Q32" s="4"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s="4" t="str">
        <f>Table1[[#This Row],[id2]]&amp;Table1[[#This Row],[name4]]</f>
        <v>bff0cd7a-8fe5-4d18-91e9-d3dbf885b01cEncounter Set</v>
      </c>
      <c r="O33" s="4" t="str">
        <f>IF(Table1[[#This Row],[value]]="","",Table1[[#This Row],[value]])</f>
        <v>Spiders of Mirkwood</v>
      </c>
      <c r="P33" s="4" t="str">
        <f>Table1[[#This Row],[id2]]&amp;Table1[[#This Row],[name6]]</f>
        <v>bff0cd7a-8fe5-4d18-91e9-d3dbf885b01c</v>
      </c>
      <c r="Q33" s="4"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s="4" t="str">
        <f>Table1[[#This Row],[id2]]&amp;Table1[[#This Row],[name4]]</f>
        <v>bff0cd7a-8fe5-4d18-91e9-d3dbf885b01cType</v>
      </c>
      <c r="O34" s="4" t="str">
        <f>IF(Table1[[#This Row],[value]]="","",Table1[[#This Row],[value]])</f>
        <v>Location</v>
      </c>
      <c r="P34" s="4" t="str">
        <f>Table1[[#This Row],[id2]]&amp;Table1[[#This Row],[name6]]</f>
        <v>bff0cd7a-8fe5-4d18-91e9-d3dbf885b01c</v>
      </c>
      <c r="Q34" s="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s="4" t="str">
        <f>Table1[[#This Row],[id2]]&amp;Table1[[#This Row],[name4]]</f>
        <v>bff0cd7a-8fe5-4d18-91e9-d3dbf885b01cTraits</v>
      </c>
      <c r="O35" s="4" t="str">
        <f>IF(Table1[[#This Row],[value]]="","",Table1[[#This Row],[value]])</f>
        <v>Forest.</v>
      </c>
      <c r="P35" s="4" t="str">
        <f>Table1[[#This Row],[id2]]&amp;Table1[[#This Row],[name6]]</f>
        <v>bff0cd7a-8fe5-4d18-91e9-d3dbf885b01c</v>
      </c>
      <c r="Q35" s="4"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s="4" t="str">
        <f>Table1[[#This Row],[id2]]&amp;Table1[[#This Row],[name4]]</f>
        <v>bff0cd7a-8fe5-4d18-91e9-d3dbf885b01cThreat</v>
      </c>
      <c r="O36" s="4" t="str">
        <f>IF(Table1[[#This Row],[value]]="","",Table1[[#This Row],[value]])</f>
        <v>2</v>
      </c>
      <c r="P36" s="4" t="str">
        <f>Table1[[#This Row],[id2]]&amp;Table1[[#This Row],[name6]]</f>
        <v>bff0cd7a-8fe5-4d18-91e9-d3dbf885b01c</v>
      </c>
      <c r="Q36" s="4"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s="4" t="str">
        <f>Table1[[#This Row],[id2]]&amp;Table1[[#This Row],[name4]]</f>
        <v>bff0cd7a-8fe5-4d18-91e9-d3dbf885b01cQuest Points</v>
      </c>
      <c r="O37" s="4" t="str">
        <f>IF(Table1[[#This Row],[value]]="","",Table1[[#This Row],[value]])</f>
        <v>2</v>
      </c>
      <c r="P37" s="4" t="str">
        <f>Table1[[#This Row],[id2]]&amp;Table1[[#This Row],[name6]]</f>
        <v>bff0cd7a-8fe5-4d18-91e9-d3dbf885b01c</v>
      </c>
      <c r="Q37" s="4"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s="4" t="str">
        <f>Table1[[#This Row],[id2]]&amp;Table1[[#This Row],[name4]]</f>
        <v>bff0cd7a-8fe5-4d18-91e9-d3dbf885b01cText</v>
      </c>
      <c r="O38" s="4" t="str">
        <f>IF(Table1[[#This Row],[value]]="","",Table1[[#This Row],[value]])</f>
        <v>Travel: Each player must exhaust 1 hero he controls to travel here.</v>
      </c>
      <c r="P38" s="4" t="str">
        <f>Table1[[#This Row],[id2]]&amp;Table1[[#This Row],[name6]]</f>
        <v>bff0cd7a-8fe5-4d18-91e9-d3dbf885b01c</v>
      </c>
      <c r="Q38" s="4"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s="4" t="str">
        <f>Table1[[#This Row],[id2]]&amp;Table1[[#This Row],[name4]]</f>
        <v>86a8cb61-a4d2-40f7-82a7-adfe5a835acdQuantity</v>
      </c>
      <c r="O39" s="4" t="str">
        <f>IF(Table1[[#This Row],[value]]="","",Table1[[#This Row],[value]])</f>
        <v>1</v>
      </c>
      <c r="P39" s="4" t="str">
        <f>Table1[[#This Row],[id2]]&amp;Table1[[#This Row],[name6]]</f>
        <v>86a8cb61-a4d2-40f7-82a7-adfe5a835acd</v>
      </c>
      <c r="Q39" s="4"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s="4" t="str">
        <f>Table1[[#This Row],[id2]]&amp;Table1[[#This Row],[name4]]</f>
        <v>86a8cb61-a4d2-40f7-82a7-adfe5a835acdEncounter Set</v>
      </c>
      <c r="O40" s="4" t="str">
        <f>IF(Table1[[#This Row],[value]]="","",Table1[[#This Row],[value]])</f>
        <v>Escape from Dol Guldur</v>
      </c>
      <c r="P40" s="4" t="str">
        <f>Table1[[#This Row],[id2]]&amp;Table1[[#This Row],[name6]]</f>
        <v>86a8cb61-a4d2-40f7-82a7-adfe5a835acd</v>
      </c>
      <c r="Q40" s="4"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s="4" t="str">
        <f>Table1[[#This Row],[id2]]&amp;Table1[[#This Row],[name4]]</f>
        <v>86a8cb61-a4d2-40f7-82a7-adfe5a835acdType</v>
      </c>
      <c r="O41" s="4" t="str">
        <f>IF(Table1[[#This Row],[value]]="","",Table1[[#This Row],[value]])</f>
        <v>Quest</v>
      </c>
      <c r="P41" s="4" t="str">
        <f>Table1[[#This Row],[id2]]&amp;Table1[[#This Row],[name6]]</f>
        <v>86a8cb61-a4d2-40f7-82a7-adfe5a835acd</v>
      </c>
      <c r="Q41" s="4"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s="4" t="str">
        <f>Table1[[#This Row],[id2]]&amp;Table1[[#This Row],[name4]]</f>
        <v>86a8cb61-a4d2-40f7-82a7-adfe5a835acdText</v>
      </c>
      <c r="O42"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4" t="str">
        <f>Table1[[#This Row],[id2]]&amp;Table1[[#This Row],[name6]]</f>
        <v>86a8cb61-a4d2-40f7-82a7-adfe5a835acd</v>
      </c>
      <c r="Q42" s="4"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s="4" t="str">
        <f>Table1[[#This Row],[id2]]&amp;Table1[[#This Row],[name4]]</f>
        <v>86a8cb61-a4d2-40f7-82a7-adfe5a835acdSetup</v>
      </c>
      <c r="O43" s="4" t="str">
        <f>IF(Table1[[#This Row],[value]]="","",Table1[[#This Row],[value]])</f>
        <v>ssst</v>
      </c>
      <c r="P43" s="4" t="str">
        <f>Table1[[#This Row],[id2]]&amp;Table1[[#This Row],[name6]]</f>
        <v>86a8cb61-a4d2-40f7-82a7-adfe5a835acd</v>
      </c>
      <c r="Q43" s="4"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s="4" t="str">
        <f>Table1[[#This Row],[id2]]&amp;Table1[[#This Row],[name4]]</f>
        <v>86a8cb61-a4d2-40f7-82a7-adfe5a835acd</v>
      </c>
      <c r="O44" s="4" t="str">
        <f>IF(Table1[[#This Row],[value]]="","",Table1[[#This Row],[value]])</f>
        <v/>
      </c>
      <c r="P44" s="4" t="str">
        <f>Table1[[#This Row],[id2]]&amp;Table1[[#This Row],[name6]]</f>
        <v>86a8cb61-a4d2-40f7-82a7-adfe5a835acdType</v>
      </c>
      <c r="Q44" s="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s="4" t="str">
        <f>Table1[[#This Row],[id2]]&amp;Table1[[#This Row],[name4]]</f>
        <v>86a8cb61-a4d2-40f7-82a7-adfe5a835acd</v>
      </c>
      <c r="O45" s="4" t="str">
        <f>IF(Table1[[#This Row],[value]]="","",Table1[[#This Row],[value]])</f>
        <v/>
      </c>
      <c r="P45" s="4" t="str">
        <f>Table1[[#This Row],[id2]]&amp;Table1[[#This Row],[name6]]</f>
        <v>86a8cb61-a4d2-40f7-82a7-adfe5a835acdQuest Points</v>
      </c>
      <c r="Q45" s="4" t="str">
        <f>IF(Table1[[#This Row],[value7]]="","",Table1[[#This Row],[value7]])</f>
        <v>9</v>
      </c>
    </row>
    <row r="46" spans="1:17" ht="409.5">
      <c r="A46" s="1" t="s">
        <v>115</v>
      </c>
      <c r="B46" s="1" t="s">
        <v>80</v>
      </c>
      <c r="C46" s="1" t="s">
        <v>13</v>
      </c>
      <c r="D46" s="1" t="s">
        <v>56</v>
      </c>
      <c r="E46" s="1" t="s">
        <v>79</v>
      </c>
      <c r="F46" s="1" t="s">
        <v>85</v>
      </c>
      <c r="G46" s="1" t="s">
        <v>90</v>
      </c>
      <c r="H46" s="1"/>
      <c r="I46" s="1"/>
      <c r="J46" s="1" t="s">
        <v>109</v>
      </c>
      <c r="K46" s="1" t="s">
        <v>45</v>
      </c>
      <c r="L46" s="1" t="s">
        <v>25</v>
      </c>
      <c r="M46" s="2" t="s">
        <v>110</v>
      </c>
      <c r="N46" s="4" t="str">
        <f>Table1[[#This Row],[id2]]&amp;Table1[[#This Row],[name4]]</f>
        <v>86a8cb61-a4d2-40f7-82a7-adfe5a835acd</v>
      </c>
      <c r="O46" s="4" t="str">
        <f>IF(Table1[[#This Row],[value]]="","",Table1[[#This Row],[value]])</f>
        <v/>
      </c>
      <c r="P46" s="4" t="str">
        <f>Table1[[#This Row],[id2]]&amp;Table1[[#This Row],[name6]]</f>
        <v>86a8cb61-a4d2-40f7-82a7-adfe5a835acdText</v>
      </c>
      <c r="Q46"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s="4" t="str">
        <f>Table1[[#This Row],[id2]]&amp;Table1[[#This Row],[name4]]</f>
        <v>cd20023c-210a-498f-9183-65c461183c4cQuantity</v>
      </c>
      <c r="O47" s="4" t="str">
        <f>IF(Table1[[#This Row],[value]]="","",Table1[[#This Row],[value]])</f>
        <v>1</v>
      </c>
      <c r="P47" s="4" t="str">
        <f>Table1[[#This Row],[id2]]&amp;Table1[[#This Row],[name6]]</f>
        <v>cd20023c-210a-498f-9183-65c461183c4c</v>
      </c>
      <c r="Q47" s="4"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s="4" t="str">
        <f>Table1[[#This Row],[id2]]&amp;Table1[[#This Row],[name4]]</f>
        <v>cd20023c-210a-498f-9183-65c461183c4cUnique</v>
      </c>
      <c r="O48" s="4" t="str">
        <f>IF(Table1[[#This Row],[value]]="","",Table1[[#This Row],[value]])</f>
        <v>‰</v>
      </c>
      <c r="P48" s="4" t="str">
        <f>Table1[[#This Row],[id2]]&amp;Table1[[#This Row],[name6]]</f>
        <v>cd20023c-210a-498f-9183-65c461183c4c</v>
      </c>
      <c r="Q48" s="4"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s="4" t="str">
        <f>Table1[[#This Row],[id2]]&amp;Table1[[#This Row],[name4]]</f>
        <v>cd20023c-210a-498f-9183-65c461183c4cType</v>
      </c>
      <c r="O49" s="4" t="str">
        <f>IF(Table1[[#This Row],[value]]="","",Table1[[#This Row],[value]])</f>
        <v>Hero</v>
      </c>
      <c r="P49" s="4" t="str">
        <f>Table1[[#This Row],[id2]]&amp;Table1[[#This Row],[name6]]</f>
        <v>cd20023c-210a-498f-9183-65c461183c4c</v>
      </c>
      <c r="Q49" s="4"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s="4" t="str">
        <f>Table1[[#This Row],[id2]]&amp;Table1[[#This Row],[name4]]</f>
        <v>cd20023c-210a-498f-9183-65c461183c4cSphere</v>
      </c>
      <c r="O50" s="4" t="str">
        <f>IF(Table1[[#This Row],[value]]="","",Table1[[#This Row],[value]])</f>
        <v>Leadership</v>
      </c>
      <c r="P50" s="4" t="str">
        <f>Table1[[#This Row],[id2]]&amp;Table1[[#This Row],[name6]]</f>
        <v>cd20023c-210a-498f-9183-65c461183c4c</v>
      </c>
      <c r="Q50" s="4"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s="4" t="str">
        <f>Table1[[#This Row],[id2]]&amp;Table1[[#This Row],[name4]]</f>
        <v>cd20023c-210a-498f-9183-65c461183c4cTraits</v>
      </c>
      <c r="O51" s="4" t="str">
        <f>IF(Table1[[#This Row],[value]]="","",Table1[[#This Row],[value]])</f>
        <v>Dunedain. Noble. Ranger.</v>
      </c>
      <c r="P51" s="4" t="str">
        <f>Table1[[#This Row],[id2]]&amp;Table1[[#This Row],[name6]]</f>
        <v>cd20023c-210a-498f-9183-65c461183c4c</v>
      </c>
      <c r="Q51" s="4"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s="4" t="str">
        <f>Table1[[#This Row],[id2]]&amp;Table1[[#This Row],[name4]]</f>
        <v>cd20023c-210a-498f-9183-65c461183c4cKeywords</v>
      </c>
      <c r="O52" s="4" t="str">
        <f>IF(Table1[[#This Row],[value]]="","",Table1[[#This Row],[value]])</f>
        <v>Sentinel.</v>
      </c>
      <c r="P52" s="4" t="str">
        <f>Table1[[#This Row],[id2]]&amp;Table1[[#This Row],[name6]]</f>
        <v>cd20023c-210a-498f-9183-65c461183c4c</v>
      </c>
      <c r="Q52" s="4"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s="4" t="str">
        <f>Table1[[#This Row],[id2]]&amp;Table1[[#This Row],[name4]]</f>
        <v>cd20023c-210a-498f-9183-65c461183c4cCost</v>
      </c>
      <c r="O53" s="4" t="str">
        <f>IF(Table1[[#This Row],[value]]="","",Table1[[#This Row],[value]])</f>
        <v>12</v>
      </c>
      <c r="P53" s="4" t="str">
        <f>Table1[[#This Row],[id2]]&amp;Table1[[#This Row],[name6]]</f>
        <v>cd20023c-210a-498f-9183-65c461183c4c</v>
      </c>
      <c r="Q53" s="4"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s="4" t="str">
        <f>Table1[[#This Row],[id2]]&amp;Table1[[#This Row],[name4]]</f>
        <v>cd20023c-210a-498f-9183-65c461183c4cWillpower</v>
      </c>
      <c r="O54" s="4" t="str">
        <f>IF(Table1[[#This Row],[value]]="","",Table1[[#This Row],[value]])</f>
        <v>2</v>
      </c>
      <c r="P54" s="4" t="str">
        <f>Table1[[#This Row],[id2]]&amp;Table1[[#This Row],[name6]]</f>
        <v>cd20023c-210a-498f-9183-65c461183c4c</v>
      </c>
      <c r="Q54" s="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s="4" t="str">
        <f>Table1[[#This Row],[id2]]&amp;Table1[[#This Row],[name4]]</f>
        <v>cd20023c-210a-498f-9183-65c461183c4cAttack</v>
      </c>
      <c r="O55" s="4" t="str">
        <f>IF(Table1[[#This Row],[value]]="","",Table1[[#This Row],[value]])</f>
        <v>3</v>
      </c>
      <c r="P55" s="4" t="str">
        <f>Table1[[#This Row],[id2]]&amp;Table1[[#This Row],[name6]]</f>
        <v>cd20023c-210a-498f-9183-65c461183c4c</v>
      </c>
      <c r="Q55" s="4"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s="4" t="str">
        <f>Table1[[#This Row],[id2]]&amp;Table1[[#This Row],[name4]]</f>
        <v>cd20023c-210a-498f-9183-65c461183c4cDefense</v>
      </c>
      <c r="O56" s="4" t="str">
        <f>IF(Table1[[#This Row],[value]]="","",Table1[[#This Row],[value]])</f>
        <v>2</v>
      </c>
      <c r="P56" s="4" t="str">
        <f>Table1[[#This Row],[id2]]&amp;Table1[[#This Row],[name6]]</f>
        <v>cd20023c-210a-498f-9183-65c461183c4c</v>
      </c>
      <c r="Q56" s="4"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s="4" t="str">
        <f>Table1[[#This Row],[id2]]&amp;Table1[[#This Row],[name4]]</f>
        <v>cd20023c-210a-498f-9183-65c461183c4cHealth</v>
      </c>
      <c r="O57" s="4" t="str">
        <f>IF(Table1[[#This Row],[value]]="","",Table1[[#This Row],[value]])</f>
        <v>5</v>
      </c>
      <c r="P57" s="4" t="str">
        <f>Table1[[#This Row],[id2]]&amp;Table1[[#This Row],[name6]]</f>
        <v>cd20023c-210a-498f-9183-65c461183c4c</v>
      </c>
      <c r="Q57" s="4" t="str">
        <f>IF(Table1[[#This Row],[value7]]="","",Table1[[#This Row],[value7]])</f>
        <v/>
      </c>
    </row>
    <row r="58" spans="1:17" ht="90">
      <c r="A58" s="1" t="s">
        <v>115</v>
      </c>
      <c r="B58" s="1" t="s">
        <v>80</v>
      </c>
      <c r="C58" s="1" t="s">
        <v>13</v>
      </c>
      <c r="D58" s="1" t="s">
        <v>56</v>
      </c>
      <c r="E58" s="1" t="s">
        <v>79</v>
      </c>
      <c r="F58" s="1" t="s">
        <v>81</v>
      </c>
      <c r="G58" s="1" t="s">
        <v>86</v>
      </c>
      <c r="H58" s="1" t="s">
        <v>25</v>
      </c>
      <c r="I58" s="2" t="s">
        <v>94</v>
      </c>
      <c r="J58" s="1"/>
      <c r="K58" s="1"/>
      <c r="L58" s="1"/>
      <c r="M58" s="2"/>
      <c r="N58" s="4" t="str">
        <f>Table1[[#This Row],[id2]]&amp;Table1[[#This Row],[name4]]</f>
        <v>cd20023c-210a-498f-9183-65c461183c4cText</v>
      </c>
      <c r="O58" s="4" t="str">
        <f>IF(Table1[[#This Row],[value]]="","",Table1[[#This Row],[value]])</f>
        <v>Response: After Aragorn commits to a quest, spend 1 resource from his resource pool to ready him. 
You can now use "Quotes" &amp; Ampersands!
hit "ALT+Enter" for 
Newlines!</v>
      </c>
      <c r="P58" s="4" t="str">
        <f>Table1[[#This Row],[id2]]&amp;Table1[[#This Row],[name6]]</f>
        <v>cd20023c-210a-498f-9183-65c461183c4c</v>
      </c>
      <c r="Q58" s="4"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s="4" t="str">
        <f>Table1[[#This Row],[id2]]&amp;Table1[[#This Row],[name4]]</f>
        <v>ec979e5e-270f-41dd-9ea4-de77431a423aQuantity</v>
      </c>
      <c r="O59" s="4" t="str">
        <f>IF(Table1[[#This Row],[value]]="","",Table1[[#This Row],[value]])</f>
        <v>2</v>
      </c>
      <c r="P59" s="4" t="str">
        <f>Table1[[#This Row],[id2]]&amp;Table1[[#This Row],[name6]]</f>
        <v>ec979e5e-270f-41dd-9ea4-de77431a423a</v>
      </c>
      <c r="Q59" s="4"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s="4" t="str">
        <f>Table1[[#This Row],[id2]]&amp;Table1[[#This Row],[name4]]</f>
        <v>ec979e5e-270f-41dd-9ea4-de77431a423aType</v>
      </c>
      <c r="O60" s="4" t="str">
        <f>IF(Table1[[#This Row],[value]]="","",Table1[[#This Row],[value]])</f>
        <v>Attachment</v>
      </c>
      <c r="P60" s="4" t="str">
        <f>Table1[[#This Row],[id2]]&amp;Table1[[#This Row],[name6]]</f>
        <v>ec979e5e-270f-41dd-9ea4-de77431a423a</v>
      </c>
      <c r="Q60" s="4"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s="4" t="str">
        <f>Table1[[#This Row],[id2]]&amp;Table1[[#This Row],[name4]]</f>
        <v>ec979e5e-270f-41dd-9ea4-de77431a423aSphere</v>
      </c>
      <c r="O61" s="4" t="str">
        <f>IF(Table1[[#This Row],[value]]="","",Table1[[#This Row],[value]])</f>
        <v>Lore</v>
      </c>
      <c r="P61" s="4" t="str">
        <f>Table1[[#This Row],[id2]]&amp;Table1[[#This Row],[name6]]</f>
        <v>ec979e5e-270f-41dd-9ea4-de77431a423a</v>
      </c>
      <c r="Q61" s="4"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s="4" t="str">
        <f>Table1[[#This Row],[id2]]&amp;Table1[[#This Row],[name4]]</f>
        <v>ec979e5e-270f-41dd-9ea4-de77431a423aTraits</v>
      </c>
      <c r="O62" s="4" t="str">
        <f>IF(Table1[[#This Row],[value]]="","",Table1[[#This Row],[value]])</f>
        <v>Title.</v>
      </c>
      <c r="P62" s="4" t="str">
        <f>Table1[[#This Row],[id2]]&amp;Table1[[#This Row],[name6]]</f>
        <v>ec979e5e-270f-41dd-9ea4-de77431a423a</v>
      </c>
      <c r="Q62" s="4"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s="4" t="str">
        <f>Table1[[#This Row],[id2]]&amp;Table1[[#This Row],[name4]]</f>
        <v>ec979e5e-270f-41dd-9ea4-de77431a423aKeywords</v>
      </c>
      <c r="O63" s="4" t="str">
        <f>IF(Table1[[#This Row],[value]]="","",Table1[[#This Row],[value]])</f>
        <v>Attach to a hero.</v>
      </c>
      <c r="P63" s="4" t="str">
        <f>Table1[[#This Row],[id2]]&amp;Table1[[#This Row],[name6]]</f>
        <v>ec979e5e-270f-41dd-9ea4-de77431a423a</v>
      </c>
      <c r="Q63" s="4"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s="4" t="str">
        <f>Table1[[#This Row],[id2]]&amp;Table1[[#This Row],[name4]]</f>
        <v>ec979e5e-270f-41dd-9ea4-de77431a423aCost</v>
      </c>
      <c r="O64" s="4" t="str">
        <f>IF(Table1[[#This Row],[value]]="","",Table1[[#This Row],[value]])</f>
        <v>1</v>
      </c>
      <c r="P64" s="4" t="str">
        <f>Table1[[#This Row],[id2]]&amp;Table1[[#This Row],[name6]]</f>
        <v>ec979e5e-270f-41dd-9ea4-de77431a423a</v>
      </c>
      <c r="Q64" s="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s="4" t="str">
        <f>Table1[[#This Row],[id2]]&amp;Table1[[#This Row],[name4]]</f>
        <v>ec979e5e-270f-41dd-9ea4-de77431a423aText</v>
      </c>
      <c r="O65" s="4" t="str">
        <f>IF(Table1[[#This Row],[value]]="","",Table1[[#This Row],[value]])</f>
        <v>Action: Discard a card from your hand to give attached hero +1 Ú or +1 Ò until the end of the phase. Limit 3 times per phase.</v>
      </c>
      <c r="P65" s="4" t="str">
        <f>Table1[[#This Row],[id2]]&amp;Table1[[#This Row],[name6]]</f>
        <v>ec979e5e-270f-41dd-9ea4-de77431a423a</v>
      </c>
      <c r="Q65" s="4"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s="4" t="str">
        <f>Table1[[#This Row],[id2]]&amp;Table1[[#This Row],[name4]]</f>
        <v>13c9bc79-dee5-47a6-8649-ddff6a753bf6Quantity</v>
      </c>
      <c r="O66" s="4" t="str">
        <f>IF(Table1[[#This Row],[value]]="","",Table1[[#This Row],[value]])</f>
        <v>1</v>
      </c>
      <c r="P66" s="4" t="str">
        <f>Table1[[#This Row],[id2]]&amp;Table1[[#This Row],[name6]]</f>
        <v>13c9bc79-dee5-47a6-8649-ddff6a753bf6</v>
      </c>
      <c r="Q66" s="4"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s="4" t="str">
        <f>Table1[[#This Row],[id2]]&amp;Table1[[#This Row],[name4]]</f>
        <v>13c9bc79-dee5-47a6-8649-ddff6a753bf6Encounter Set</v>
      </c>
      <c r="O67" s="4" t="str">
        <f>IF(Table1[[#This Row],[value]]="","",Table1[[#This Row],[value]])</f>
        <v>Spiders of Mirkwood</v>
      </c>
      <c r="P67" s="4" t="str">
        <f>Table1[[#This Row],[id2]]&amp;Table1[[#This Row],[name6]]</f>
        <v>13c9bc79-dee5-47a6-8649-ddff6a753bf6</v>
      </c>
      <c r="Q67" s="4"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s="4" t="str">
        <f>Table1[[#This Row],[id2]]&amp;Table1[[#This Row],[name4]]</f>
        <v>13c9bc79-dee5-47a6-8649-ddff6a753bf6Type</v>
      </c>
      <c r="O68" s="4" t="str">
        <f>IF(Table1[[#This Row],[value]]="","",Table1[[#This Row],[value]])</f>
        <v>Enemy</v>
      </c>
      <c r="P68" s="4" t="str">
        <f>Table1[[#This Row],[id2]]&amp;Table1[[#This Row],[name6]]</f>
        <v>13c9bc79-dee5-47a6-8649-ddff6a753bf6</v>
      </c>
      <c r="Q68" s="4"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s="4" t="str">
        <f>Table1[[#This Row],[id2]]&amp;Table1[[#This Row],[name4]]</f>
        <v>13c9bc79-dee5-47a6-8649-ddff6a753bf6Traits</v>
      </c>
      <c r="O69" s="4" t="str">
        <f>IF(Table1[[#This Row],[value]]="","",Table1[[#This Row],[value]])</f>
        <v>Creature. Spider.</v>
      </c>
      <c r="P69" s="4" t="str">
        <f>Table1[[#This Row],[id2]]&amp;Table1[[#This Row],[name6]]</f>
        <v>13c9bc79-dee5-47a6-8649-ddff6a753bf6</v>
      </c>
      <c r="Q69" s="4"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s="4" t="str">
        <f>Table1[[#This Row],[id2]]&amp;Table1[[#This Row],[name4]]</f>
        <v>13c9bc79-dee5-47a6-8649-ddff6a753bf6Engagement Cost</v>
      </c>
      <c r="O70" s="4" t="str">
        <f>IF(Table1[[#This Row],[value]]="","",Table1[[#This Row],[value]])</f>
        <v>32</v>
      </c>
      <c r="P70" s="4" t="str">
        <f>Table1[[#This Row],[id2]]&amp;Table1[[#This Row],[name6]]</f>
        <v>13c9bc79-dee5-47a6-8649-ddff6a753bf6</v>
      </c>
      <c r="Q70" s="4"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s="4" t="str">
        <f>Table1[[#This Row],[id2]]&amp;Table1[[#This Row],[name4]]</f>
        <v>13c9bc79-dee5-47a6-8649-ddff6a753bf6Threat</v>
      </c>
      <c r="O71" s="4" t="str">
        <f>IF(Table1[[#This Row],[value]]="","",Table1[[#This Row],[value]])</f>
        <v>3</v>
      </c>
      <c r="P71" s="4" t="str">
        <f>Table1[[#This Row],[id2]]&amp;Table1[[#This Row],[name6]]</f>
        <v>13c9bc79-dee5-47a6-8649-ddff6a753bf6</v>
      </c>
      <c r="Q71" s="4"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s="4" t="str">
        <f>Table1[[#This Row],[id2]]&amp;Table1[[#This Row],[name4]]</f>
        <v>13c9bc79-dee5-47a6-8649-ddff6a753bf6Attack</v>
      </c>
      <c r="O72" s="4" t="str">
        <f>IF(Table1[[#This Row],[value]]="","",Table1[[#This Row],[value]])</f>
        <v>5</v>
      </c>
      <c r="P72" s="4" t="str">
        <f>Table1[[#This Row],[id2]]&amp;Table1[[#This Row],[name6]]</f>
        <v>13c9bc79-dee5-47a6-8649-ddff6a753bf6</v>
      </c>
      <c r="Q72" s="4"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s="4" t="str">
        <f>Table1[[#This Row],[id2]]&amp;Table1[[#This Row],[name4]]</f>
        <v>13c9bc79-dee5-47a6-8649-ddff6a753bf6Defense</v>
      </c>
      <c r="O73" s="4" t="str">
        <f>IF(Table1[[#This Row],[value]]="","",Table1[[#This Row],[value]])</f>
        <v>2</v>
      </c>
      <c r="P73" s="4" t="str">
        <f>Table1[[#This Row],[id2]]&amp;Table1[[#This Row],[name6]]</f>
        <v>13c9bc79-dee5-47a6-8649-ddff6a753bf6</v>
      </c>
      <c r="Q73" s="4"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s="4" t="str">
        <f>Table1[[#This Row],[id2]]&amp;Table1[[#This Row],[name4]]</f>
        <v>13c9bc79-dee5-47a6-8649-ddff6a753bf6Health</v>
      </c>
      <c r="O74" s="4" t="str">
        <f>IF(Table1[[#This Row],[value]]="","",Table1[[#This Row],[value]])</f>
        <v>9</v>
      </c>
      <c r="P74" s="4" t="str">
        <f>Table1[[#This Row],[id2]]&amp;Table1[[#This Row],[name6]]</f>
        <v>13c9bc79-dee5-47a6-8649-ddff6a753bf6</v>
      </c>
      <c r="Q74" s="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s="4" t="str">
        <f>Table1[[#This Row],[id2]]&amp;Table1[[#This Row],[name4]]</f>
        <v>13c9bc79-dee5-47a6-8649-ddff6a753bf6Text</v>
      </c>
      <c r="O75" s="4" t="str">
        <f>IF(Table1[[#This Row],[value]]="","",Table1[[#This Row],[value]])</f>
        <v>When Revealed: Each character currently committed to a quest gets -1 Ò until the end of the phase.</v>
      </c>
      <c r="P75" s="4" t="str">
        <f>Table1[[#This Row],[id2]]&amp;Table1[[#This Row],[name6]]</f>
        <v>13c9bc79-dee5-47a6-8649-ddff6a753bf6</v>
      </c>
      <c r="Q75" s="4"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s="4" t="str">
        <f>Table1[[#This Row],[id2]]&amp;Table1[[#This Row],[name4]]</f>
        <v>13c9bc79-dee5-47a6-8649-ddff6a753bf6Shadow</v>
      </c>
      <c r="O76" s="4" t="str">
        <f>IF(Table1[[#This Row],[value]]="","",Table1[[#This Row],[value]])</f>
        <v>Shadow: Raise defending player's threat by 4. (Raise defending player's threat by 8 instead if this attack is undefended.)</v>
      </c>
      <c r="P76" s="4" t="str">
        <f>Table1[[#This Row],[id2]]&amp;Table1[[#This Row],[name6]]</f>
        <v>13c9bc79-dee5-47a6-8649-ddff6a753bf6</v>
      </c>
      <c r="Q76" s="4"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s="4" t="str">
        <f>Table1[[#This Row],[id2]]&amp;Table1[[#This Row],[name4]]</f>
        <v>bff0cd7a-8fe5-4d18-91e9-d3dbf885b01cQuantity</v>
      </c>
      <c r="O77" s="4" t="str">
        <f>IF(Table1[[#This Row],[value]]="","",Table1[[#This Row],[value]])</f>
        <v>2</v>
      </c>
      <c r="P77" s="4" t="str">
        <f>Table1[[#This Row],[id2]]&amp;Table1[[#This Row],[name6]]</f>
        <v>bff0cd7a-8fe5-4d18-91e9-d3dbf885b01c</v>
      </c>
      <c r="Q77" s="4"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s="4" t="str">
        <f>Table1[[#This Row],[id2]]&amp;Table1[[#This Row],[name4]]</f>
        <v>bff0cd7a-8fe5-4d18-91e9-d3dbf885b01cEncounter Set</v>
      </c>
      <c r="O78" s="4" t="str">
        <f>IF(Table1[[#This Row],[value]]="","",Table1[[#This Row],[value]])</f>
        <v>Spiders of Mirkwood</v>
      </c>
      <c r="P78" s="4" t="str">
        <f>Table1[[#This Row],[id2]]&amp;Table1[[#This Row],[name6]]</f>
        <v>bff0cd7a-8fe5-4d18-91e9-d3dbf885b01c</v>
      </c>
      <c r="Q78" s="4"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s="4" t="str">
        <f>Table1[[#This Row],[id2]]&amp;Table1[[#This Row],[name4]]</f>
        <v>bff0cd7a-8fe5-4d18-91e9-d3dbf885b01cType</v>
      </c>
      <c r="O79" s="4" t="str">
        <f>IF(Table1[[#This Row],[value]]="","",Table1[[#This Row],[value]])</f>
        <v>Location</v>
      </c>
      <c r="P79" s="4" t="str">
        <f>Table1[[#This Row],[id2]]&amp;Table1[[#This Row],[name6]]</f>
        <v>bff0cd7a-8fe5-4d18-91e9-d3dbf885b01c</v>
      </c>
      <c r="Q79" s="4"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s="4" t="str">
        <f>Table1[[#This Row],[id2]]&amp;Table1[[#This Row],[name4]]</f>
        <v>bff0cd7a-8fe5-4d18-91e9-d3dbf885b01cTraits</v>
      </c>
      <c r="O80" s="4" t="str">
        <f>IF(Table1[[#This Row],[value]]="","",Table1[[#This Row],[value]])</f>
        <v>Forest.</v>
      </c>
      <c r="P80" s="4" t="str">
        <f>Table1[[#This Row],[id2]]&amp;Table1[[#This Row],[name6]]</f>
        <v>bff0cd7a-8fe5-4d18-91e9-d3dbf885b01c</v>
      </c>
      <c r="Q80" s="4"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s="4" t="str">
        <f>Table1[[#This Row],[id2]]&amp;Table1[[#This Row],[name4]]</f>
        <v>bff0cd7a-8fe5-4d18-91e9-d3dbf885b01cThreat</v>
      </c>
      <c r="O81" s="4" t="str">
        <f>IF(Table1[[#This Row],[value]]="","",Table1[[#This Row],[value]])</f>
        <v>2</v>
      </c>
      <c r="P81" s="4" t="str">
        <f>Table1[[#This Row],[id2]]&amp;Table1[[#This Row],[name6]]</f>
        <v>bff0cd7a-8fe5-4d18-91e9-d3dbf885b01c</v>
      </c>
      <c r="Q81" s="4"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s="4" t="str">
        <f>Table1[[#This Row],[id2]]&amp;Table1[[#This Row],[name4]]</f>
        <v>bff0cd7a-8fe5-4d18-91e9-d3dbf885b01cQuest Points</v>
      </c>
      <c r="O82" s="4" t="str">
        <f>IF(Table1[[#This Row],[value]]="","",Table1[[#This Row],[value]])</f>
        <v>2</v>
      </c>
      <c r="P82" s="4" t="str">
        <f>Table1[[#This Row],[id2]]&amp;Table1[[#This Row],[name6]]</f>
        <v>bff0cd7a-8fe5-4d18-91e9-d3dbf885b01c</v>
      </c>
      <c r="Q82" s="4"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s="4" t="str">
        <f>Table1[[#This Row],[id2]]&amp;Table1[[#This Row],[name4]]</f>
        <v>bff0cd7a-8fe5-4d18-91e9-d3dbf885b01cText</v>
      </c>
      <c r="O83" s="4" t="str">
        <f>IF(Table1[[#This Row],[value]]="","",Table1[[#This Row],[value]])</f>
        <v>Travel: Each player must exhaust 1 hero he controls to travel here.</v>
      </c>
      <c r="P83" s="4" t="str">
        <f>Table1[[#This Row],[id2]]&amp;Table1[[#This Row],[name6]]</f>
        <v>bff0cd7a-8fe5-4d18-91e9-d3dbf885b01c</v>
      </c>
      <c r="Q83" s="4"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s="4" t="str">
        <f>Table1[[#This Row],[id2]]&amp;Table1[[#This Row],[name4]]</f>
        <v>86a8cb61-a4d2-40f7-82a7-adfe5a835acdQuantity</v>
      </c>
      <c r="O84" s="4" t="str">
        <f>IF(Table1[[#This Row],[value]]="","",Table1[[#This Row],[value]])</f>
        <v>1</v>
      </c>
      <c r="P84" s="4" t="str">
        <f>Table1[[#This Row],[id2]]&amp;Table1[[#This Row],[name6]]</f>
        <v>86a8cb61-a4d2-40f7-82a7-adfe5a835acd</v>
      </c>
      <c r="Q84" s="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s="4" t="str">
        <f>Table1[[#This Row],[id2]]&amp;Table1[[#This Row],[name4]]</f>
        <v>86a8cb61-a4d2-40f7-82a7-adfe5a835acdEncounter Set</v>
      </c>
      <c r="O85" s="4" t="str">
        <f>IF(Table1[[#This Row],[value]]="","",Table1[[#This Row],[value]])</f>
        <v>Escape from Dol Guldur</v>
      </c>
      <c r="P85" s="4" t="str">
        <f>Table1[[#This Row],[id2]]&amp;Table1[[#This Row],[name6]]</f>
        <v>86a8cb61-a4d2-40f7-82a7-adfe5a835acd</v>
      </c>
      <c r="Q85" s="4"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s="4" t="str">
        <f>Table1[[#This Row],[id2]]&amp;Table1[[#This Row],[name4]]</f>
        <v>86a8cb61-a4d2-40f7-82a7-adfe5a835acdType</v>
      </c>
      <c r="O86" s="4" t="str">
        <f>IF(Table1[[#This Row],[value]]="","",Table1[[#This Row],[value]])</f>
        <v>Quest</v>
      </c>
      <c r="P86" s="4" t="str">
        <f>Table1[[#This Row],[id2]]&amp;Table1[[#This Row],[name6]]</f>
        <v>86a8cb61-a4d2-40f7-82a7-adfe5a835acd</v>
      </c>
      <c r="Q86" s="4"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s="4" t="str">
        <f>Table1[[#This Row],[id2]]&amp;Table1[[#This Row],[name4]]</f>
        <v>86a8cb61-a4d2-40f7-82a7-adfe5a835acdText</v>
      </c>
      <c r="O87" s="4"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4" t="str">
        <f>Table1[[#This Row],[id2]]&amp;Table1[[#This Row],[name6]]</f>
        <v>86a8cb61-a4d2-40f7-82a7-adfe5a835acd</v>
      </c>
      <c r="Q87" s="4"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s="4" t="str">
        <f>Table1[[#This Row],[id2]]&amp;Table1[[#This Row],[name4]]</f>
        <v>86a8cb61-a4d2-40f7-82a7-adfe5a835acdSetup</v>
      </c>
      <c r="O88" s="4" t="str">
        <f>IF(Table1[[#This Row],[value]]="","",Table1[[#This Row],[value]])</f>
        <v>ssst</v>
      </c>
      <c r="P88" s="4" t="str">
        <f>Table1[[#This Row],[id2]]&amp;Table1[[#This Row],[name6]]</f>
        <v>86a8cb61-a4d2-40f7-82a7-adfe5a835acd</v>
      </c>
      <c r="Q88" s="4"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s="4" t="str">
        <f>Table1[[#This Row],[id2]]&amp;Table1[[#This Row],[name4]]</f>
        <v>86a8cb61-a4d2-40f7-82a7-adfe5a835acd</v>
      </c>
      <c r="O89" s="4" t="str">
        <f>IF(Table1[[#This Row],[value]]="","",Table1[[#This Row],[value]])</f>
        <v/>
      </c>
      <c r="P89" s="4" t="str">
        <f>Table1[[#This Row],[id2]]&amp;Table1[[#This Row],[name6]]</f>
        <v>86a8cb61-a4d2-40f7-82a7-adfe5a835acdType</v>
      </c>
      <c r="Q89" s="4"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s="4" t="str">
        <f>Table1[[#This Row],[id2]]&amp;Table1[[#This Row],[name4]]</f>
        <v>86a8cb61-a4d2-40f7-82a7-adfe5a835acd</v>
      </c>
      <c r="O90" s="4" t="str">
        <f>IF(Table1[[#This Row],[value]]="","",Table1[[#This Row],[value]])</f>
        <v/>
      </c>
      <c r="P90" s="4" t="str">
        <f>Table1[[#This Row],[id2]]&amp;Table1[[#This Row],[name6]]</f>
        <v>86a8cb61-a4d2-40f7-82a7-adfe5a835acdQuest Points</v>
      </c>
      <c r="Q90" s="4" t="str">
        <f>IF(Table1[[#This Row],[value7]]="","",Table1[[#This Row],[value7]])</f>
        <v>9</v>
      </c>
    </row>
    <row r="91" spans="1:17" ht="409.5">
      <c r="A91" s="1" t="s">
        <v>115</v>
      </c>
      <c r="B91" s="1" t="s">
        <v>80</v>
      </c>
      <c r="C91" s="1" t="s">
        <v>13</v>
      </c>
      <c r="D91" s="1" t="s">
        <v>56</v>
      </c>
      <c r="E91" s="1" t="s">
        <v>79</v>
      </c>
      <c r="F91" s="1" t="s">
        <v>85</v>
      </c>
      <c r="G91" s="1" t="s">
        <v>90</v>
      </c>
      <c r="H91" s="1"/>
      <c r="I91" s="1"/>
      <c r="J91" s="1" t="s">
        <v>109</v>
      </c>
      <c r="K91" s="1" t="s">
        <v>45</v>
      </c>
      <c r="L91" s="1" t="s">
        <v>25</v>
      </c>
      <c r="M91" s="2" t="s">
        <v>110</v>
      </c>
      <c r="N91" s="4" t="str">
        <f>Table1[[#This Row],[id2]]&amp;Table1[[#This Row],[name4]]</f>
        <v>86a8cb61-a4d2-40f7-82a7-adfe5a835acd</v>
      </c>
      <c r="O91" s="4" t="str">
        <f>IF(Table1[[#This Row],[value]]="","",Table1[[#This Row],[value]])</f>
        <v/>
      </c>
      <c r="P91" s="4" t="str">
        <f>Table1[[#This Row],[id2]]&amp;Table1[[#This Row],[name6]]</f>
        <v>86a8cb61-a4d2-40f7-82a7-adfe5a835acdText</v>
      </c>
      <c r="Q91" s="4"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K6"/>
  <sheetViews>
    <sheetView workbookViewId="0">
      <selection activeCell="I2" sqref="I2"/>
    </sheetView>
  </sheetViews>
  <sheetFormatPr defaultRowHeight="15"/>
  <cols>
    <col min="1" max="1" width="46.5703125" bestFit="1" customWidth="1"/>
    <col min="2" max="2" width="38.140625" bestFit="1" customWidth="1"/>
    <col min="3" max="3" width="39.85546875" hidden="1" customWidth="1"/>
    <col min="4" max="4" width="28.28515625" bestFit="1" customWidth="1"/>
    <col min="5" max="5" width="15" customWidth="1"/>
    <col min="6" max="6" width="38" customWidth="1"/>
    <col min="7" max="7" width="28.140625" bestFit="1" customWidth="1"/>
    <col min="8" max="8" width="38.42578125" customWidth="1"/>
    <col min="9" max="9" width="38.140625" customWidth="1"/>
    <col min="10" max="10" width="16.5703125" customWidth="1"/>
    <col min="11" max="11" width="9.85546875" customWidth="1"/>
    <col min="12" max="23" width="38" customWidth="1"/>
    <col min="24" max="211" width="38" bestFit="1" customWidth="1"/>
    <col min="212" max="212" width="11.2851562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P129"/>
  <sheetViews>
    <sheetView workbookViewId="0">
      <pane ySplit="1" topLeftCell="A2" activePane="bottomLeft" state="frozen"/>
      <selection activeCell="I1" sqref="I1"/>
      <selection pane="bottomLeft" activeCell="A2" sqref="A2:AP6"/>
    </sheetView>
  </sheetViews>
  <sheetFormatPr defaultRowHeight="15"/>
  <cols>
    <col min="1" max="2" width="39.85546875" style="6" bestFit="1" customWidth="1"/>
    <col min="3" max="5" width="4" style="6" bestFit="1" customWidth="1"/>
    <col min="6" max="6" width="37" style="6" bestFit="1" customWidth="1"/>
    <col min="7" max="7" width="37" style="6" customWidth="1"/>
    <col min="8" max="8" width="4" style="6" bestFit="1" customWidth="1"/>
    <col min="9" max="9" width="11.28515625" style="6" bestFit="1" customWidth="1"/>
    <col min="10" max="10" width="10.7109375" style="6" bestFit="1" customWidth="1"/>
    <col min="11" max="11" width="33.140625" style="6" bestFit="1" customWidth="1"/>
    <col min="12" max="12" width="44.140625" style="7" customWidth="1"/>
    <col min="13" max="21" width="4" style="6" bestFit="1" customWidth="1"/>
    <col min="22" max="22" width="66.7109375" style="7" customWidth="1"/>
    <col min="23" max="23" width="55.85546875" style="7" customWidth="1"/>
    <col min="24" max="24" width="11.28515625" style="6" bestFit="1" customWidth="1"/>
    <col min="25" max="25" width="38" style="6" bestFit="1" customWidth="1"/>
    <col min="26" max="26" width="4" style="7" bestFit="1" customWidth="1"/>
    <col min="27" max="27" width="9.140625" style="6"/>
    <col min="28" max="28" width="13" style="6" customWidth="1"/>
    <col min="29" max="29" width="12.85546875" style="6" customWidth="1"/>
    <col min="30" max="30" width="12.28515625" style="6" customWidth="1"/>
    <col min="31" max="38" width="4" style="6" bestFit="1" customWidth="1"/>
    <col min="39" max="39" width="7" style="6" customWidth="1"/>
    <col min="40" max="41" width="55.85546875" style="6" customWidth="1"/>
    <col min="42" max="16384" width="9.140625" style="6"/>
  </cols>
  <sheetData>
    <row r="1" spans="1:42" s="5" customFormat="1" ht="94.5">
      <c r="A1" s="8" t="s">
        <v>46</v>
      </c>
      <c r="B1" s="8" t="s">
        <v>50</v>
      </c>
      <c r="C1" s="9" t="s">
        <v>57</v>
      </c>
      <c r="D1" s="9" t="s">
        <v>55</v>
      </c>
      <c r="E1" s="9" t="s">
        <v>31</v>
      </c>
      <c r="F1" s="8" t="s">
        <v>30</v>
      </c>
      <c r="G1" s="8" t="s">
        <v>48</v>
      </c>
      <c r="H1" s="9" t="s">
        <v>18</v>
      </c>
      <c r="I1" s="8" t="s">
        <v>14</v>
      </c>
      <c r="J1" s="8" t="s">
        <v>15</v>
      </c>
      <c r="K1" s="8" t="s">
        <v>24</v>
      </c>
      <c r="L1" s="10" t="s">
        <v>27</v>
      </c>
      <c r="M1" s="9" t="s">
        <v>16</v>
      </c>
      <c r="N1" s="9" t="s">
        <v>17</v>
      </c>
      <c r="O1" s="9" t="s">
        <v>28</v>
      </c>
      <c r="P1" s="9" t="s">
        <v>22</v>
      </c>
      <c r="Q1" s="9" t="s">
        <v>20</v>
      </c>
      <c r="R1" s="9" t="s">
        <v>21</v>
      </c>
      <c r="S1" s="9" t="s">
        <v>23</v>
      </c>
      <c r="T1" s="9" t="s">
        <v>29</v>
      </c>
      <c r="U1" s="9" t="s">
        <v>32</v>
      </c>
      <c r="V1" s="10" t="s">
        <v>25</v>
      </c>
      <c r="W1" s="10" t="s">
        <v>26</v>
      </c>
      <c r="X1" s="8" t="s">
        <v>19</v>
      </c>
      <c r="Y1" s="8" t="s">
        <v>49</v>
      </c>
      <c r="Z1" s="9" t="s">
        <v>18</v>
      </c>
      <c r="AA1" s="8" t="s">
        <v>14</v>
      </c>
      <c r="AB1" s="8" t="s">
        <v>15</v>
      </c>
      <c r="AC1" s="8" t="s">
        <v>24</v>
      </c>
      <c r="AD1" s="10" t="s">
        <v>27</v>
      </c>
      <c r="AE1" s="9" t="s">
        <v>16</v>
      </c>
      <c r="AF1" s="9" t="s">
        <v>17</v>
      </c>
      <c r="AG1" s="9" t="s">
        <v>28</v>
      </c>
      <c r="AH1" s="9" t="s">
        <v>22</v>
      </c>
      <c r="AI1" s="9" t="s">
        <v>20</v>
      </c>
      <c r="AJ1" s="9" t="s">
        <v>21</v>
      </c>
      <c r="AK1" s="9" t="s">
        <v>23</v>
      </c>
      <c r="AL1" s="9" t="s">
        <v>29</v>
      </c>
      <c r="AM1" s="9" t="s">
        <v>32</v>
      </c>
      <c r="AN1" s="10" t="s">
        <v>25</v>
      </c>
      <c r="AO1" s="10" t="s">
        <v>26</v>
      </c>
      <c r="AP1" s="8" t="s">
        <v>19</v>
      </c>
    </row>
    <row r="2" spans="1:42" ht="90">
      <c r="A2" s="6" t="str">
        <f>VLOOKUP(B2,IDS!$B:$D,2,FALSE)</f>
        <v>61747121-05d1-4216-8c22-06dcc958e7a3</v>
      </c>
      <c r="B2" s="6" t="str">
        <f>IDS!B2</f>
        <v>cd20023c-210a-498f-9183-65c461183c4c</v>
      </c>
      <c r="E2" s="6">
        <f>IFERROR(VALUE(IFERROR(VLOOKUP($B2&amp;E$1,Import!$N:$O,2,FALSE),"")),IFERROR(VLOOKUP($B2&amp;E$1,Import!$N:$O,2,FALSE),""))</f>
        <v>1</v>
      </c>
      <c r="F2" s="6" t="str">
        <f>IFERROR(VLOOKUP($B2&amp;F$1,Import!$N:$O,2,FALSE),"")</f>
        <v/>
      </c>
      <c r="G2" s="6" t="str">
        <f>IDS!D2</f>
        <v>Aragorn</v>
      </c>
      <c r="H2" s="6" t="str">
        <f>IFERROR(VLOOKUP($B2&amp;H$1,Import!$N:$O,2,FALSE),"")</f>
        <v>‰</v>
      </c>
      <c r="I2" s="6" t="str">
        <f>IFERROR(VLOOKUP($B2&amp;I$1,Import!$N:$O,2,FALSE),"")</f>
        <v>Hero</v>
      </c>
      <c r="J2" s="6" t="str">
        <f>IFERROR(VLOOKUP($B2&amp;J$1,Import!$N:$O,2,FALSE),"")</f>
        <v>Leadership</v>
      </c>
      <c r="K2" s="6" t="str">
        <f>IFERROR(VLOOKUP($B2&amp;K$1,Import!$N:$O,2,FALSE),"")</f>
        <v>Dunedain. Noble. Ranger.</v>
      </c>
      <c r="L2" s="7" t="str">
        <f>IFERROR(VLOOKUP($B2&amp;L$1,Import!$N:$O,2,FALSE),"")</f>
        <v>Sentinel.</v>
      </c>
      <c r="M2" s="6">
        <f>IFERROR(VALUE(IFERROR(VLOOKUP($B2&amp;M$1,Import!$N:$O,2,FALSE),"")),IFERROR(VLOOKUP($B2&amp;M$1,Import!$N:$O,2,FALSE),""))</f>
        <v>12</v>
      </c>
      <c r="N2" s="6" t="str">
        <f>IFERROR(VALUE(IFERROR(VLOOKUP($B2&amp;N$1,Import!$N:$O,2,FALSE),"")),IFERROR(VLOOKUP($B2&amp;N$1,Import!$N:$O,2,FALSE),""))</f>
        <v/>
      </c>
      <c r="O2" s="6" t="str">
        <f>IFERROR(VALUE(IFERROR(VLOOKUP($B2&amp;O$1,Import!$N:$O,2,FALSE),"")),IFERROR(VLOOKUP($B2&amp;O$1,Import!$N:$O,2,FALSE),""))</f>
        <v/>
      </c>
      <c r="P2" s="6">
        <f>IFERROR(VALUE(IFERROR(VLOOKUP($B2&amp;P$1,Import!$N:$O,2,FALSE),"")),IFERROR(VLOOKUP($B2&amp;P$1,Import!$N:$O,2,FALSE),""))</f>
        <v>2</v>
      </c>
      <c r="Q2" s="6">
        <f>IFERROR(VALUE(IFERROR(VLOOKUP($B2&amp;Q$1,Import!$N:$O,2,FALSE),"")),IFERROR(VLOOKUP($B2&amp;Q$1,Import!$N:$O,2,FALSE),""))</f>
        <v>3</v>
      </c>
      <c r="R2" s="6">
        <f>IFERROR(VALUE(IFERROR(VLOOKUP($B2&amp;R$1,Import!$N:$O,2,FALSE),"")),IFERROR(VLOOKUP($B2&amp;R$1,Import!$N:$O,2,FALSE),""))</f>
        <v>2</v>
      </c>
      <c r="S2" s="6">
        <f>IFERROR(VALUE(IFERROR(VLOOKUP($B2&amp;S$1,Import!$N:$O,2,FALSE),"")),IFERROR(VLOOKUP($B2&amp;S$1,Import!$N:$O,2,FALSE),""))</f>
        <v>5</v>
      </c>
      <c r="T2" s="6" t="str">
        <f>IFERROR(VALUE(IFERROR(VLOOKUP($B2&amp;T$1,Import!$N:$O,2,FALSE),"")),IFERROR(VLOOKUP($B2&amp;T$1,Import!$N:$O,2,FALSE),""))</f>
        <v/>
      </c>
      <c r="U2" s="6" t="str">
        <f>IFERROR(VALUE(IFERROR(VLOOKUP($B2&amp;U$1,Import!$N:$O,2,FALSE),"")),IFERROR(VLOOKUP($B2&amp;U$1,Import!$N:$O,2,FALSE),""))</f>
        <v/>
      </c>
      <c r="V2" s="7" t="str">
        <f>IFERROR(VLOOKUP($B2&amp;V$1,Import!$N:$O,2,FALSE),"")</f>
        <v>Response: After Aragorn commits to a quest, spend 1 resource from his resource pool to ready him. 
You can now use "Quotes" &amp; Ampersands!
hit "ALT+Enter" for 
Newlines!</v>
      </c>
      <c r="W2" s="7" t="str">
        <f>IFERROR(VLOOKUP($B2&amp;W$1,Import!$N:$O,2,FALSE),"")</f>
        <v/>
      </c>
      <c r="X2" s="6" t="str">
        <f>IFERROR(VLOOKUP($B2&amp;X$1,Import!$N:$O,2,FALSE),"")</f>
        <v/>
      </c>
      <c r="Y2" s="6" t="str">
        <f>IFERROR(VLOOKUP(B2,IDS!$F:$G,2,FALSE),"")</f>
        <v/>
      </c>
      <c r="Z2" s="6" t="str">
        <f>IFERROR(VLOOKUP($B2&amp;Z$1,Import!$P:$Q,2,FALSE),"")</f>
        <v/>
      </c>
      <c r="AA2" s="6" t="str">
        <f>IFERROR(VLOOKUP($B2&amp;AA$1,Import!$P:$Q,2,FALSE),"")</f>
        <v/>
      </c>
      <c r="AB2" s="6" t="str">
        <f>IFERROR(VLOOKUP($B2&amp;AB$1,Import!$P:$Q,2,FALSE),"")</f>
        <v/>
      </c>
      <c r="AC2" s="6" t="str">
        <f>IFERROR(VLOOKUP($B2&amp;AC$1,Import!$P:$Q,2,FALSE),"")</f>
        <v/>
      </c>
      <c r="AD2" s="7" t="str">
        <f>IFERROR(VLOOKUP($B2&amp;AD$1,Import!$P:$Q,2,FALSE),"")</f>
        <v/>
      </c>
      <c r="AE2" s="6" t="str">
        <f>IFERROR(VALUE(IFERROR(VLOOKUP($B2&amp;AE$1,Import!$P:$Q,2,FALSE),"")),IFERROR(VLOOKUP($B2&amp;AE$1,Import!$P:$Q,2,FALSE),""))</f>
        <v/>
      </c>
      <c r="AF2" s="6" t="str">
        <f>IFERROR(VALUE(IFERROR(VLOOKUP($B2&amp;AF$1,Import!$P:$Q,2,FALSE),"")),IFERROR(VLOOKUP($B2&amp;AF$1,Import!$P:$Q,2,FALSE),""))</f>
        <v/>
      </c>
      <c r="AG2" s="6" t="str">
        <f>IFERROR(VALUE(IFERROR(VLOOKUP($B2&amp;AG$1,Import!$P:$Q,2,FALSE),"")),IFERROR(VLOOKUP($B2&amp;AG$1,Import!$P:$Q,2,FALSE),""))</f>
        <v/>
      </c>
      <c r="AH2" s="6" t="str">
        <f>IFERROR(VALUE(IFERROR(VLOOKUP($B2&amp;AH$1,Import!$P:$Q,2,FALSE),"")),IFERROR(VLOOKUP($B2&amp;AH$1,Import!$P:$Q,2,FALSE),""))</f>
        <v/>
      </c>
      <c r="AI2" s="6" t="str">
        <f>IFERROR(VALUE(IFERROR(VLOOKUP($B2&amp;AI$1,Import!$P:$Q,2,FALSE),"")),IFERROR(VLOOKUP($B2&amp;AI$1,Import!$P:$Q,2,FALSE),""))</f>
        <v/>
      </c>
      <c r="AJ2" s="6" t="str">
        <f>IFERROR(VALUE(IFERROR(VLOOKUP($B2&amp;AJ$1,Import!$P:$Q,2,FALSE),"")),IFERROR(VLOOKUP($B2&amp;AJ$1,Import!$P:$Q,2,FALSE),""))</f>
        <v/>
      </c>
      <c r="AK2" s="6" t="str">
        <f>IFERROR(VALUE(IFERROR(VLOOKUP($B2&amp;AK$1,Import!$P:$Q,2,FALSE),"")),IFERROR(VLOOKUP($B2&amp;AK$1,Import!$P:$Q,2,FALSE),""))</f>
        <v/>
      </c>
      <c r="AL2" s="6" t="str">
        <f>IFERROR(VALUE(IFERROR(VLOOKUP($B2&amp;AL$1,Import!$P:$Q,2,FALSE),"")),IFERROR(VLOOKUP($B2&amp;AL$1,Import!$P:$Q,2,FALSE),""))</f>
        <v/>
      </c>
      <c r="AM2" s="6" t="str">
        <f>IFERROR(VALUE(IFERROR(VLOOKUP($B2&amp;AM$1,Import!$P:$Q,2,FALSE),"")),IFERROR(VLOOKUP($B2&amp;AM$1,Import!$P:$Q,2,FALSE),""))</f>
        <v/>
      </c>
      <c r="AN2" s="7" t="str">
        <f>IFERROR(VLOOKUP($B2&amp;AN$1,Import!$P:$Q,2,FALSE),"")</f>
        <v/>
      </c>
      <c r="AO2" s="7" t="str">
        <f>IFERROR(VLOOKUP($B2&amp;AO$1,Import!$P:$Q,2,FALSE),"")</f>
        <v/>
      </c>
      <c r="AP2" s="6" t="str">
        <f>IFERROR(VLOOKUP($B2&amp;AP$1,Import!$P:$Q,2,FALSE),"")</f>
        <v/>
      </c>
    </row>
    <row r="3" spans="1:42" ht="30">
      <c r="A3" s="6" t="str">
        <f>VLOOKUP(B3,IDS!$B:$D,2,FALSE)</f>
        <v>61747121-05d1-4216-8c22-06dcc958e7a3</v>
      </c>
      <c r="B3" s="6" t="str">
        <f>IDS!B3</f>
        <v>ec979e5e-270f-41dd-9ea4-de77431a423a</v>
      </c>
      <c r="E3" s="6">
        <f>IFERROR(VALUE(IFERROR(VLOOKUP($B3&amp;E$1,Import!$N:$O,2,FALSE),"")),IFERROR(VLOOKUP($B3&amp;E$1,Import!$N:$O,2,FALSE),""))</f>
        <v>2</v>
      </c>
      <c r="F3" s="6" t="str">
        <f>IFERROR(VLOOKUP($B3&amp;F$1,Import!$N:$O,2,FALSE),"")</f>
        <v/>
      </c>
      <c r="G3" s="6" t="str">
        <f>IDS!D3</f>
        <v>Protector of Lórien</v>
      </c>
      <c r="H3" s="6" t="str">
        <f>IFERROR(VLOOKUP($B3&amp;H$1,Import!$N:$O,2,FALSE),"")</f>
        <v/>
      </c>
      <c r="I3" s="6" t="str">
        <f>IFERROR(VLOOKUP($B3&amp;I$1,Import!$N:$O,2,FALSE),"")</f>
        <v>Attachment</v>
      </c>
      <c r="J3" s="6" t="str">
        <f>IFERROR(VLOOKUP($B3&amp;J$1,Import!$N:$O,2,FALSE),"")</f>
        <v>Lore</v>
      </c>
      <c r="K3" s="6" t="str">
        <f>IFERROR(VLOOKUP($B3&amp;K$1,Import!$N:$O,2,FALSE),"")</f>
        <v>Title.</v>
      </c>
      <c r="L3" s="7" t="str">
        <f>IFERROR(VLOOKUP($B3&amp;L$1,Import!$N:$O,2,FALSE),"")</f>
        <v>Attach to a hero.</v>
      </c>
      <c r="M3" s="6">
        <f>IFERROR(VALUE(IFERROR(VLOOKUP($B3&amp;M$1,Import!$N:$O,2,FALSE),"")),IFERROR(VLOOKUP($B3&amp;M$1,Import!$N:$O,2,FALSE),""))</f>
        <v>1</v>
      </c>
      <c r="N3" s="6" t="str">
        <f>IFERROR(VALUE(IFERROR(VLOOKUP($B3&amp;N$1,Import!$N:$O,2,FALSE),"")),IFERROR(VLOOKUP($B3&amp;N$1,Import!$N:$O,2,FALSE),""))</f>
        <v/>
      </c>
      <c r="O3" s="6" t="str">
        <f>IFERROR(VALUE(IFERROR(VLOOKUP($B3&amp;O$1,Import!$N:$O,2,FALSE),"")),IFERROR(VLOOKUP($B3&amp;O$1,Import!$N:$O,2,FALSE),""))</f>
        <v/>
      </c>
      <c r="P3" s="6" t="str">
        <f>IFERROR(VALUE(IFERROR(VLOOKUP($B3&amp;P$1,Import!$N:$O,2,FALSE),"")),IFERROR(VLOOKUP($B3&amp;P$1,Import!$N:$O,2,FALSE),""))</f>
        <v/>
      </c>
      <c r="Q3" s="6" t="str">
        <f>IFERROR(VALUE(IFERROR(VLOOKUP($B3&amp;Q$1,Import!$N:$O,2,FALSE),"")),IFERROR(VLOOKUP($B3&amp;Q$1,Import!$N:$O,2,FALSE),""))</f>
        <v/>
      </c>
      <c r="R3" s="6" t="str">
        <f>IFERROR(VALUE(IFERROR(VLOOKUP($B3&amp;R$1,Import!$N:$O,2,FALSE),"")),IFERROR(VLOOKUP($B3&amp;R$1,Import!$N:$O,2,FALSE),""))</f>
        <v/>
      </c>
      <c r="S3" s="6" t="str">
        <f>IFERROR(VALUE(IFERROR(VLOOKUP($B3&amp;S$1,Import!$N:$O,2,FALSE),"")),IFERROR(VLOOKUP($B3&amp;S$1,Import!$N:$O,2,FALSE),""))</f>
        <v/>
      </c>
      <c r="T3" s="6" t="str">
        <f>IFERROR(VALUE(IFERROR(VLOOKUP($B3&amp;T$1,Import!$N:$O,2,FALSE),"")),IFERROR(VLOOKUP($B3&amp;T$1,Import!$N:$O,2,FALSE),""))</f>
        <v/>
      </c>
      <c r="U3" s="6" t="str">
        <f>IFERROR(VALUE(IFERROR(VLOOKUP($B3&amp;U$1,Import!$N:$O,2,FALSE),"")),IFERROR(VLOOKUP($B3&amp;U$1,Import!$N:$O,2,FALSE),""))</f>
        <v/>
      </c>
      <c r="V3" s="7" t="str">
        <f>IFERROR(VLOOKUP($B3&amp;V$1,Import!$N:$O,2,FALSE),"")</f>
        <v>Action: Discard a card from your hand to give attached hero +1 Ú or +1 Ò until the end of the phase. Limit 3 times per phase.</v>
      </c>
      <c r="W3" s="7" t="str">
        <f>IFERROR(VLOOKUP($B3&amp;W$1,Import!$N:$O,2,FALSE),"")</f>
        <v/>
      </c>
      <c r="X3" s="6" t="str">
        <f>IFERROR(VLOOKUP($B3&amp;X$1,Import!$N:$O,2,FALSE),"")</f>
        <v/>
      </c>
      <c r="Y3" s="6" t="str">
        <f>IFERROR(VLOOKUP(B3,IDS!$F:$G,2,FALSE),"")</f>
        <v/>
      </c>
      <c r="Z3" s="6" t="str">
        <f>IFERROR(VLOOKUP($B3&amp;Z$1,Import!$P:$Q,2,FALSE),"")</f>
        <v/>
      </c>
      <c r="AA3" s="6" t="str">
        <f>IFERROR(VLOOKUP($B3&amp;AA$1,Import!$P:$Q,2,FALSE),"")</f>
        <v/>
      </c>
      <c r="AB3" s="6" t="str">
        <f>IFERROR(VLOOKUP($B3&amp;AB$1,Import!$P:$Q,2,FALSE),"")</f>
        <v/>
      </c>
      <c r="AC3" s="6" t="str">
        <f>IFERROR(VLOOKUP($B3&amp;AC$1,Import!$P:$Q,2,FALSE),"")</f>
        <v/>
      </c>
      <c r="AD3" s="7" t="str">
        <f>IFERROR(VLOOKUP($B3&amp;AD$1,Import!$P:$Q,2,FALSE),"")</f>
        <v/>
      </c>
      <c r="AE3" s="6" t="str">
        <f>IFERROR(VALUE(IFERROR(VLOOKUP($B3&amp;AE$1,Import!$P:$Q,2,FALSE),"")),IFERROR(VLOOKUP($B3&amp;AE$1,Import!$P:$Q,2,FALSE),""))</f>
        <v/>
      </c>
      <c r="AF3" s="6" t="str">
        <f>IFERROR(VALUE(IFERROR(VLOOKUP($B3&amp;AF$1,Import!$P:$Q,2,FALSE),"")),IFERROR(VLOOKUP($B3&amp;AF$1,Import!$P:$Q,2,FALSE),""))</f>
        <v/>
      </c>
      <c r="AG3" s="6" t="str">
        <f>IFERROR(VALUE(IFERROR(VLOOKUP($B3&amp;AG$1,Import!$P:$Q,2,FALSE),"")),IFERROR(VLOOKUP($B3&amp;AG$1,Import!$P:$Q,2,FALSE),""))</f>
        <v/>
      </c>
      <c r="AH3" s="6" t="str">
        <f>IFERROR(VALUE(IFERROR(VLOOKUP($B3&amp;AH$1,Import!$P:$Q,2,FALSE),"")),IFERROR(VLOOKUP($B3&amp;AH$1,Import!$P:$Q,2,FALSE),""))</f>
        <v/>
      </c>
      <c r="AI3" s="6" t="str">
        <f>IFERROR(VALUE(IFERROR(VLOOKUP($B3&amp;AI$1,Import!$P:$Q,2,FALSE),"")),IFERROR(VLOOKUP($B3&amp;AI$1,Import!$P:$Q,2,FALSE),""))</f>
        <v/>
      </c>
      <c r="AJ3" s="6" t="str">
        <f>IFERROR(VALUE(IFERROR(VLOOKUP($B3&amp;AJ$1,Import!$P:$Q,2,FALSE),"")),IFERROR(VLOOKUP($B3&amp;AJ$1,Import!$P:$Q,2,FALSE),""))</f>
        <v/>
      </c>
      <c r="AK3" s="6" t="str">
        <f>IFERROR(VALUE(IFERROR(VLOOKUP($B3&amp;AK$1,Import!$P:$Q,2,FALSE),"")),IFERROR(VLOOKUP($B3&amp;AK$1,Import!$P:$Q,2,FALSE),""))</f>
        <v/>
      </c>
      <c r="AL3" s="6" t="str">
        <f>IFERROR(VALUE(IFERROR(VLOOKUP($B3&amp;AL$1,Import!$P:$Q,2,FALSE),"")),IFERROR(VLOOKUP($B3&amp;AL$1,Import!$P:$Q,2,FALSE),""))</f>
        <v/>
      </c>
      <c r="AM3" s="6" t="str">
        <f>IFERROR(VALUE(IFERROR(VLOOKUP($B3&amp;AM$1,Import!$P:$Q,2,FALSE),"")),IFERROR(VLOOKUP($B3&amp;AM$1,Import!$P:$Q,2,FALSE),""))</f>
        <v/>
      </c>
      <c r="AN3" s="7" t="str">
        <f>IFERROR(VLOOKUP($B3&amp;AN$1,Import!$P:$Q,2,FALSE),"")</f>
        <v/>
      </c>
      <c r="AO3" s="7" t="str">
        <f>IFERROR(VLOOKUP($B3&amp;AO$1,Import!$P:$Q,2,FALSE),"")</f>
        <v/>
      </c>
      <c r="AP3" s="6" t="str">
        <f>IFERROR(VLOOKUP($B3&amp;AP$1,Import!$P:$Q,2,FALSE),"")</f>
        <v/>
      </c>
    </row>
    <row r="4" spans="1:42" ht="45">
      <c r="A4" s="6" t="str">
        <f>VLOOKUP(B4,IDS!$B:$D,2,FALSE)</f>
        <v>61747121-05d1-4216-8c22-06dcc958e7a3</v>
      </c>
      <c r="B4" s="6" t="str">
        <f>IDS!B4</f>
        <v>13c9bc79-dee5-47a6-8649-ddff6a753bf6</v>
      </c>
      <c r="E4" s="6">
        <f>IFERROR(VALUE(IFERROR(VLOOKUP($B4&amp;E$1,Import!$N:$O,2,FALSE),"")),IFERROR(VLOOKUP($B4&amp;E$1,Import!$N:$O,2,FALSE),""))</f>
        <v>1</v>
      </c>
      <c r="F4" s="6" t="str">
        <f>IFERROR(VLOOKUP($B4&amp;F$1,Import!$N:$O,2,FALSE),"")</f>
        <v>Spiders of Mirkwood</v>
      </c>
      <c r="G4" s="6" t="str">
        <f>IDS!D4</f>
        <v>Ungoliant's Spawn</v>
      </c>
      <c r="H4" s="6" t="str">
        <f>IFERROR(VLOOKUP($B4&amp;H$1,Import!$N:$O,2,FALSE),"")</f>
        <v/>
      </c>
      <c r="I4" s="6" t="str">
        <f>IFERROR(VLOOKUP($B4&amp;I$1,Import!$N:$O,2,FALSE),"")</f>
        <v>Enemy</v>
      </c>
      <c r="J4" s="6" t="str">
        <f>IFERROR(VLOOKUP($B4&amp;J$1,Import!$N:$O,2,FALSE),"")</f>
        <v/>
      </c>
      <c r="K4" s="6" t="str">
        <f>IFERROR(VLOOKUP($B4&amp;K$1,Import!$N:$O,2,FALSE),"")</f>
        <v>Creature. Spider.</v>
      </c>
      <c r="L4" s="7" t="str">
        <f>IFERROR(VLOOKUP($B4&amp;L$1,Import!$N:$O,2,FALSE),"")</f>
        <v/>
      </c>
      <c r="M4" s="6" t="str">
        <f>IFERROR(VALUE(IFERROR(VLOOKUP($B4&amp;M$1,Import!$N:$O,2,FALSE),"")),IFERROR(VLOOKUP($B4&amp;M$1,Import!$N:$O,2,FALSE),""))</f>
        <v/>
      </c>
      <c r="N4" s="6">
        <f>IFERROR(VALUE(IFERROR(VLOOKUP($B4&amp;N$1,Import!$N:$O,2,FALSE),"")),IFERROR(VLOOKUP($B4&amp;N$1,Import!$N:$O,2,FALSE),""))</f>
        <v>32</v>
      </c>
      <c r="O4" s="6">
        <f>IFERROR(VALUE(IFERROR(VLOOKUP($B4&amp;O$1,Import!$N:$O,2,FALSE),"")),IFERROR(VLOOKUP($B4&amp;O$1,Import!$N:$O,2,FALSE),""))</f>
        <v>3</v>
      </c>
      <c r="P4" s="6" t="str">
        <f>IFERROR(VALUE(IFERROR(VLOOKUP($B4&amp;P$1,Import!$N:$O,2,FALSE),"")),IFERROR(VLOOKUP($B4&amp;P$1,Import!$N:$O,2,FALSE),""))</f>
        <v/>
      </c>
      <c r="Q4" s="6">
        <f>IFERROR(VALUE(IFERROR(VLOOKUP($B4&amp;Q$1,Import!$N:$O,2,FALSE),"")),IFERROR(VLOOKUP($B4&amp;Q$1,Import!$N:$O,2,FALSE),""))</f>
        <v>5</v>
      </c>
      <c r="R4" s="6">
        <f>IFERROR(VALUE(IFERROR(VLOOKUP($B4&amp;R$1,Import!$N:$O,2,FALSE),"")),IFERROR(VLOOKUP($B4&amp;R$1,Import!$N:$O,2,FALSE),""))</f>
        <v>2</v>
      </c>
      <c r="S4" s="6">
        <f>IFERROR(VALUE(IFERROR(VLOOKUP($B4&amp;S$1,Import!$N:$O,2,FALSE),"")),IFERROR(VLOOKUP($B4&amp;S$1,Import!$N:$O,2,FALSE),""))</f>
        <v>9</v>
      </c>
      <c r="T4" s="6" t="str">
        <f>IFERROR(VALUE(IFERROR(VLOOKUP($B4&amp;T$1,Import!$N:$O,2,FALSE),"")),IFERROR(VLOOKUP($B4&amp;T$1,Import!$N:$O,2,FALSE),""))</f>
        <v/>
      </c>
      <c r="U4" s="6" t="str">
        <f>IFERROR(VALUE(IFERROR(VLOOKUP($B4&amp;U$1,Import!$N:$O,2,FALSE),"")),IFERROR(VLOOKUP($B4&amp;U$1,Import!$N:$O,2,FALSE),""))</f>
        <v/>
      </c>
      <c r="V4" s="7" t="str">
        <f>IFERROR(VLOOKUP($B4&amp;V$1,Import!$N:$O,2,FALSE),"")</f>
        <v>When Revealed: Each character currently committed to a quest gets -1 Ò until the end of the phase.</v>
      </c>
      <c r="W4" s="7" t="str">
        <f>IFERROR(VLOOKUP($B4&amp;W$1,Import!$N:$O,2,FALSE),"")</f>
        <v>Shadow: Raise defending player's threat by 4. (Raise defending player's threat by 8 instead if this attack is undefended.)</v>
      </c>
      <c r="X4" s="6" t="str">
        <f>IFERROR(VLOOKUP($B4&amp;X$1,Import!$N:$O,2,FALSE),"")</f>
        <v/>
      </c>
      <c r="Y4" s="6" t="str">
        <f>IFERROR(VLOOKUP(B4,IDS!$F:$G,2,FALSE),"")</f>
        <v/>
      </c>
      <c r="Z4" s="6" t="str">
        <f>IFERROR(VLOOKUP($B4&amp;Z$1,Import!$P:$Q,2,FALSE),"")</f>
        <v/>
      </c>
      <c r="AA4" s="6" t="str">
        <f>IFERROR(VLOOKUP($B4&amp;AA$1,Import!$P:$Q,2,FALSE),"")</f>
        <v/>
      </c>
      <c r="AB4" s="6" t="str">
        <f>IFERROR(VLOOKUP($B4&amp;AB$1,Import!$P:$Q,2,FALSE),"")</f>
        <v/>
      </c>
      <c r="AC4" s="6" t="str">
        <f>IFERROR(VLOOKUP($B4&amp;AC$1,Import!$P:$Q,2,FALSE),"")</f>
        <v/>
      </c>
      <c r="AD4" s="7" t="str">
        <f>IFERROR(VLOOKUP($B4&amp;AD$1,Import!$P:$Q,2,FALSE),"")</f>
        <v/>
      </c>
      <c r="AE4" s="6" t="str">
        <f>IFERROR(VALUE(IFERROR(VLOOKUP($B4&amp;AE$1,Import!$P:$Q,2,FALSE),"")),IFERROR(VLOOKUP($B4&amp;AE$1,Import!$P:$Q,2,FALSE),""))</f>
        <v/>
      </c>
      <c r="AF4" s="6" t="str">
        <f>IFERROR(VALUE(IFERROR(VLOOKUP($B4&amp;AF$1,Import!$P:$Q,2,FALSE),"")),IFERROR(VLOOKUP($B4&amp;AF$1,Import!$P:$Q,2,FALSE),""))</f>
        <v/>
      </c>
      <c r="AG4" s="6" t="str">
        <f>IFERROR(VALUE(IFERROR(VLOOKUP($B4&amp;AG$1,Import!$P:$Q,2,FALSE),"")),IFERROR(VLOOKUP($B4&amp;AG$1,Import!$P:$Q,2,FALSE),""))</f>
        <v/>
      </c>
      <c r="AH4" s="6" t="str">
        <f>IFERROR(VALUE(IFERROR(VLOOKUP($B4&amp;AH$1,Import!$P:$Q,2,FALSE),"")),IFERROR(VLOOKUP($B4&amp;AH$1,Import!$P:$Q,2,FALSE),""))</f>
        <v/>
      </c>
      <c r="AI4" s="6" t="str">
        <f>IFERROR(VALUE(IFERROR(VLOOKUP($B4&amp;AI$1,Import!$P:$Q,2,FALSE),"")),IFERROR(VLOOKUP($B4&amp;AI$1,Import!$P:$Q,2,FALSE),""))</f>
        <v/>
      </c>
      <c r="AJ4" s="6" t="str">
        <f>IFERROR(VALUE(IFERROR(VLOOKUP($B4&amp;AJ$1,Import!$P:$Q,2,FALSE),"")),IFERROR(VLOOKUP($B4&amp;AJ$1,Import!$P:$Q,2,FALSE),""))</f>
        <v/>
      </c>
      <c r="AK4" s="6" t="str">
        <f>IFERROR(VALUE(IFERROR(VLOOKUP($B4&amp;AK$1,Import!$P:$Q,2,FALSE),"")),IFERROR(VLOOKUP($B4&amp;AK$1,Import!$P:$Q,2,FALSE),""))</f>
        <v/>
      </c>
      <c r="AL4" s="6" t="str">
        <f>IFERROR(VALUE(IFERROR(VLOOKUP($B4&amp;AL$1,Import!$P:$Q,2,FALSE),"")),IFERROR(VLOOKUP($B4&amp;AL$1,Import!$P:$Q,2,FALSE),""))</f>
        <v/>
      </c>
      <c r="AM4" s="6" t="str">
        <f>IFERROR(VALUE(IFERROR(VLOOKUP($B4&amp;AM$1,Import!$P:$Q,2,FALSE),"")),IFERROR(VLOOKUP($B4&amp;AM$1,Import!$P:$Q,2,FALSE),""))</f>
        <v/>
      </c>
      <c r="AN4" s="7" t="str">
        <f>IFERROR(VLOOKUP($B4&amp;AN$1,Import!$P:$Q,2,FALSE),"")</f>
        <v/>
      </c>
      <c r="AO4" s="7" t="str">
        <f>IFERROR(VLOOKUP($B4&amp;AO$1,Import!$P:$Q,2,FALSE),"")</f>
        <v/>
      </c>
      <c r="AP4" s="6" t="str">
        <f>IFERROR(VLOOKUP($B4&amp;AP$1,Import!$P:$Q,2,FALSE),"")</f>
        <v/>
      </c>
    </row>
    <row r="5" spans="1:42">
      <c r="A5" s="6" t="str">
        <f>VLOOKUP(B5,IDS!$B:$D,2,FALSE)</f>
        <v>61747121-05d1-4216-8c22-06dcc958e7a3</v>
      </c>
      <c r="B5" s="6" t="str">
        <f>IDS!B5</f>
        <v>bff0cd7a-8fe5-4d18-91e9-d3dbf885b01c</v>
      </c>
      <c r="E5" s="6">
        <f>IFERROR(VALUE(IFERROR(VLOOKUP($B5&amp;E$1,Import!$N:$O,2,FALSE),"")),IFERROR(VLOOKUP($B5&amp;E$1,Import!$N:$O,2,FALSE),""))</f>
        <v>2</v>
      </c>
      <c r="F5" s="6" t="str">
        <f>IFERROR(VLOOKUP($B5&amp;F$1,Import!$N:$O,2,FALSE),"")</f>
        <v>Spiders of Mirkwood</v>
      </c>
      <c r="G5" s="6" t="str">
        <f>IDS!D5</f>
        <v>Great Forest Web</v>
      </c>
      <c r="H5" s="6" t="str">
        <f>IFERROR(VLOOKUP($B5&amp;H$1,Import!$N:$O,2,FALSE),"")</f>
        <v/>
      </c>
      <c r="I5" s="6" t="str">
        <f>IFERROR(VLOOKUP($B5&amp;I$1,Import!$N:$O,2,FALSE),"")</f>
        <v>Location</v>
      </c>
      <c r="J5" s="6" t="str">
        <f>IFERROR(VLOOKUP($B5&amp;J$1,Import!$N:$O,2,FALSE),"")</f>
        <v/>
      </c>
      <c r="K5" s="6" t="str">
        <f>IFERROR(VLOOKUP($B5&amp;K$1,Import!$N:$O,2,FALSE),"")</f>
        <v>Forest.</v>
      </c>
      <c r="L5" s="7" t="str">
        <f>IFERROR(VLOOKUP($B5&amp;L$1,Import!$N:$O,2,FALSE),"")</f>
        <v/>
      </c>
      <c r="M5" s="6" t="str">
        <f>IFERROR(VALUE(IFERROR(VLOOKUP($B5&amp;M$1,Import!$N:$O,2,FALSE),"")),IFERROR(VLOOKUP($B5&amp;M$1,Import!$N:$O,2,FALSE),""))</f>
        <v/>
      </c>
      <c r="N5" s="6" t="str">
        <f>IFERROR(VALUE(IFERROR(VLOOKUP($B5&amp;N$1,Import!$N:$O,2,FALSE),"")),IFERROR(VLOOKUP($B5&amp;N$1,Import!$N:$O,2,FALSE),""))</f>
        <v/>
      </c>
      <c r="O5" s="6">
        <f>IFERROR(VALUE(IFERROR(VLOOKUP($B5&amp;O$1,Import!$N:$O,2,FALSE),"")),IFERROR(VLOOKUP($B5&amp;O$1,Import!$N:$O,2,FALSE),""))</f>
        <v>2</v>
      </c>
      <c r="P5" s="6" t="str">
        <f>IFERROR(VALUE(IFERROR(VLOOKUP($B5&amp;P$1,Import!$N:$O,2,FALSE),"")),IFERROR(VLOOKUP($B5&amp;P$1,Import!$N:$O,2,FALSE),""))</f>
        <v/>
      </c>
      <c r="Q5" s="6" t="str">
        <f>IFERROR(VALUE(IFERROR(VLOOKUP($B5&amp;Q$1,Import!$N:$O,2,FALSE),"")),IFERROR(VLOOKUP($B5&amp;Q$1,Import!$N:$O,2,FALSE),""))</f>
        <v/>
      </c>
      <c r="R5" s="6" t="str">
        <f>IFERROR(VALUE(IFERROR(VLOOKUP($B5&amp;R$1,Import!$N:$O,2,FALSE),"")),IFERROR(VLOOKUP($B5&amp;R$1,Import!$N:$O,2,FALSE),""))</f>
        <v/>
      </c>
      <c r="S5" s="6" t="str">
        <f>IFERROR(VALUE(IFERROR(VLOOKUP($B5&amp;S$1,Import!$N:$O,2,FALSE),"")),IFERROR(VLOOKUP($B5&amp;S$1,Import!$N:$O,2,FALSE),""))</f>
        <v/>
      </c>
      <c r="T5" s="6">
        <f>IFERROR(VALUE(IFERROR(VLOOKUP($B5&amp;T$1,Import!$N:$O,2,FALSE),"")),IFERROR(VLOOKUP($B5&amp;T$1,Import!$N:$O,2,FALSE),""))</f>
        <v>2</v>
      </c>
      <c r="U5" s="6" t="str">
        <f>IFERROR(VALUE(IFERROR(VLOOKUP($B5&amp;U$1,Import!$N:$O,2,FALSE),"")),IFERROR(VLOOKUP($B5&amp;U$1,Import!$N:$O,2,FALSE),""))</f>
        <v/>
      </c>
      <c r="V5" s="7" t="str">
        <f>IFERROR(VLOOKUP($B5&amp;V$1,Import!$N:$O,2,FALSE),"")</f>
        <v>Travel: Each player must exhaust 1 hero he controls to travel here.</v>
      </c>
      <c r="W5" s="7" t="str">
        <f>IFERROR(VLOOKUP($B5&amp;W$1,Import!$N:$O,2,FALSE),"")</f>
        <v/>
      </c>
      <c r="X5" s="6" t="str">
        <f>IFERROR(VLOOKUP($B5&amp;X$1,Import!$N:$O,2,FALSE),"")</f>
        <v/>
      </c>
      <c r="Y5" s="6" t="str">
        <f>IFERROR(VLOOKUP(B5,IDS!$F:$G,2,FALSE),"")</f>
        <v/>
      </c>
      <c r="Z5" s="6" t="str">
        <f>IFERROR(VLOOKUP($B5&amp;Z$1,Import!$P:$Q,2,FALSE),"")</f>
        <v/>
      </c>
      <c r="AA5" s="6" t="str">
        <f>IFERROR(VLOOKUP($B5&amp;AA$1,Import!$P:$Q,2,FALSE),"")</f>
        <v/>
      </c>
      <c r="AB5" s="6" t="str">
        <f>IFERROR(VLOOKUP($B5&amp;AB$1,Import!$P:$Q,2,FALSE),"")</f>
        <v/>
      </c>
      <c r="AC5" s="6" t="str">
        <f>IFERROR(VLOOKUP($B5&amp;AC$1,Import!$P:$Q,2,FALSE),"")</f>
        <v/>
      </c>
      <c r="AD5" s="7" t="str">
        <f>IFERROR(VLOOKUP($B5&amp;AD$1,Import!$P:$Q,2,FALSE),"")</f>
        <v/>
      </c>
      <c r="AE5" s="6" t="str">
        <f>IFERROR(VALUE(IFERROR(VLOOKUP($B5&amp;AE$1,Import!$P:$Q,2,FALSE),"")),IFERROR(VLOOKUP($B5&amp;AE$1,Import!$P:$Q,2,FALSE),""))</f>
        <v/>
      </c>
      <c r="AF5" s="6" t="str">
        <f>IFERROR(VALUE(IFERROR(VLOOKUP($B5&amp;AF$1,Import!$P:$Q,2,FALSE),"")),IFERROR(VLOOKUP($B5&amp;AF$1,Import!$P:$Q,2,FALSE),""))</f>
        <v/>
      </c>
      <c r="AG5" s="6" t="str">
        <f>IFERROR(VALUE(IFERROR(VLOOKUP($B5&amp;AG$1,Import!$P:$Q,2,FALSE),"")),IFERROR(VLOOKUP($B5&amp;AG$1,Import!$P:$Q,2,FALSE),""))</f>
        <v/>
      </c>
      <c r="AH5" s="6" t="str">
        <f>IFERROR(VALUE(IFERROR(VLOOKUP($B5&amp;AH$1,Import!$P:$Q,2,FALSE),"")),IFERROR(VLOOKUP($B5&amp;AH$1,Import!$P:$Q,2,FALSE),""))</f>
        <v/>
      </c>
      <c r="AI5" s="6" t="str">
        <f>IFERROR(VALUE(IFERROR(VLOOKUP($B5&amp;AI$1,Import!$P:$Q,2,FALSE),"")),IFERROR(VLOOKUP($B5&amp;AI$1,Import!$P:$Q,2,FALSE),""))</f>
        <v/>
      </c>
      <c r="AJ5" s="6" t="str">
        <f>IFERROR(VALUE(IFERROR(VLOOKUP($B5&amp;AJ$1,Import!$P:$Q,2,FALSE),"")),IFERROR(VLOOKUP($B5&amp;AJ$1,Import!$P:$Q,2,FALSE),""))</f>
        <v/>
      </c>
      <c r="AK5" s="6" t="str">
        <f>IFERROR(VALUE(IFERROR(VLOOKUP($B5&amp;AK$1,Import!$P:$Q,2,FALSE),"")),IFERROR(VLOOKUP($B5&amp;AK$1,Import!$P:$Q,2,FALSE),""))</f>
        <v/>
      </c>
      <c r="AL5" s="6" t="str">
        <f>IFERROR(VALUE(IFERROR(VLOOKUP($B5&amp;AL$1,Import!$P:$Q,2,FALSE),"")),IFERROR(VLOOKUP($B5&amp;AL$1,Import!$P:$Q,2,FALSE),""))</f>
        <v/>
      </c>
      <c r="AM5" s="6" t="str">
        <f>IFERROR(VALUE(IFERROR(VLOOKUP($B5&amp;AM$1,Import!$P:$Q,2,FALSE),"")),IFERROR(VLOOKUP($B5&amp;AM$1,Import!$P:$Q,2,FALSE),""))</f>
        <v/>
      </c>
      <c r="AN5" s="7" t="str">
        <f>IFERROR(VLOOKUP($B5&amp;AN$1,Import!$P:$Q,2,FALSE),"")</f>
        <v/>
      </c>
      <c r="AO5" s="7" t="str">
        <f>IFERROR(VLOOKUP($B5&amp;AO$1,Import!$P:$Q,2,FALSE),"")</f>
        <v/>
      </c>
      <c r="AP5" s="6" t="str">
        <f>IFERROR(VLOOKUP($B5&amp;AP$1,Import!$P:$Q,2,FALSE),"")</f>
        <v/>
      </c>
    </row>
    <row r="6" spans="1:42" ht="165">
      <c r="A6" s="6" t="str">
        <f>VLOOKUP(B6,IDS!$B:$D,2,FALSE)</f>
        <v>61747121-05d1-4216-8c22-06dcc958e7a3</v>
      </c>
      <c r="B6" s="6" t="str">
        <f>IDS!B6</f>
        <v>86a8cb61-a4d2-40f7-82a7-adfe5a835acd</v>
      </c>
      <c r="E6" s="6">
        <f>IFERROR(VALUE(IFERROR(VLOOKUP($B6&amp;E$1,Import!$N:$O,2,FALSE),"")),IFERROR(VLOOKUP($B6&amp;E$1,Import!$N:$O,2,FALSE),""))</f>
        <v>1</v>
      </c>
      <c r="F6" s="6" t="str">
        <f>IFERROR(VLOOKUP($B6&amp;F$1,Import!$N:$O,2,FALSE),"")</f>
        <v>Escape from Dol Guldur</v>
      </c>
      <c r="G6" s="6" t="str">
        <f>IDS!D6</f>
        <v>The Necromancer's Tower - 1A</v>
      </c>
      <c r="H6" s="6" t="str">
        <f>IFERROR(VLOOKUP($B6&amp;H$1,Import!$N:$O,2,FALSE),"")</f>
        <v/>
      </c>
      <c r="I6" s="6" t="str">
        <f>IFERROR(VLOOKUP($B6&amp;I$1,Import!$N:$O,2,FALSE),"")</f>
        <v>Quest</v>
      </c>
      <c r="J6" s="6" t="str">
        <f>IFERROR(VLOOKUP($B6&amp;J$1,Import!$N:$O,2,FALSE),"")</f>
        <v/>
      </c>
      <c r="K6" s="6" t="str">
        <f>IFERROR(VLOOKUP($B6&amp;K$1,Import!$N:$O,2,FALSE),"")</f>
        <v/>
      </c>
      <c r="L6" s="7" t="str">
        <f>IFERROR(VLOOKUP($B6&amp;L$1,Import!$N:$O,2,FALSE),"")</f>
        <v/>
      </c>
      <c r="M6" s="6" t="str">
        <f>IFERROR(VALUE(IFERROR(VLOOKUP($B6&amp;M$1,Import!$N:$O,2,FALSE),"")),IFERROR(VLOOKUP($B6&amp;M$1,Import!$N:$O,2,FALSE),""))</f>
        <v/>
      </c>
      <c r="N6" s="6" t="str">
        <f>IFERROR(VALUE(IFERROR(VLOOKUP($B6&amp;N$1,Import!$N:$O,2,FALSE),"")),IFERROR(VLOOKUP($B6&amp;N$1,Import!$N:$O,2,FALSE),""))</f>
        <v/>
      </c>
      <c r="O6" s="6" t="str">
        <f>IFERROR(VALUE(IFERROR(VLOOKUP($B6&amp;O$1,Import!$N:$O,2,FALSE),"")),IFERROR(VLOOKUP($B6&amp;O$1,Import!$N:$O,2,FALSE),""))</f>
        <v/>
      </c>
      <c r="P6" s="6" t="str">
        <f>IFERROR(VALUE(IFERROR(VLOOKUP($B6&amp;P$1,Import!$N:$O,2,FALSE),"")),IFERROR(VLOOKUP($B6&amp;P$1,Import!$N:$O,2,FALSE),""))</f>
        <v/>
      </c>
      <c r="Q6" s="6" t="str">
        <f>IFERROR(VALUE(IFERROR(VLOOKUP($B6&amp;Q$1,Import!$N:$O,2,FALSE),"")),IFERROR(VLOOKUP($B6&amp;Q$1,Import!$N:$O,2,FALSE),""))</f>
        <v/>
      </c>
      <c r="R6" s="6" t="str">
        <f>IFERROR(VALUE(IFERROR(VLOOKUP($B6&amp;R$1,Import!$N:$O,2,FALSE),"")),IFERROR(VLOOKUP($B6&amp;R$1,Import!$N:$O,2,FALSE),""))</f>
        <v/>
      </c>
      <c r="S6" s="6" t="str">
        <f>IFERROR(VALUE(IFERROR(VLOOKUP($B6&amp;S$1,Import!$N:$O,2,FALSE),"")),IFERROR(VLOOKUP($B6&amp;S$1,Import!$N:$O,2,FALSE),""))</f>
        <v/>
      </c>
      <c r="T6" s="6" t="str">
        <f>IFERROR(VALUE(IFERROR(VLOOKUP($B6&amp;T$1,Import!$N:$O,2,FALSE),"")),IFERROR(VLOOKUP($B6&amp;T$1,Import!$N:$O,2,FALSE),""))</f>
        <v/>
      </c>
      <c r="U6" s="6" t="str">
        <f>IFERROR(VALUE(IFERROR(VLOOKUP($B6&amp;U$1,Import!$N:$O,2,FALSE),"")),IFERROR(VLOOKUP($B6&amp;U$1,Import!$N:$O,2,FALSE),""))</f>
        <v/>
      </c>
      <c r="V6" s="7"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7" t="str">
        <f>IFERROR(VLOOKUP($B6&amp;W$1,Import!$N:$O,2,FALSE),"")</f>
        <v/>
      </c>
      <c r="X6" s="6" t="str">
        <f>IFERROR(VLOOKUP($B6&amp;X$1,Import!$N:$O,2,FALSE),"")</f>
        <v>ssst</v>
      </c>
      <c r="Y6" s="6" t="str">
        <f>IFERROR(VLOOKUP(B6,IDS!$F:$G,2,FALSE),"")</f>
        <v>The Necromancer's Tower - 1B</v>
      </c>
      <c r="Z6" s="6" t="str">
        <f>IFERROR(VLOOKUP($B6&amp;Z$1,Import!$P:$Q,2,FALSE),"")</f>
        <v/>
      </c>
      <c r="AA6" s="6" t="str">
        <f>IFERROR(VLOOKUP($B6&amp;AA$1,Import!$P:$Q,2,FALSE),"")</f>
        <v>Quest</v>
      </c>
      <c r="AB6" s="6" t="str">
        <f>IFERROR(VLOOKUP($B6&amp;AB$1,Import!$P:$Q,2,FALSE),"")</f>
        <v/>
      </c>
      <c r="AC6" s="6" t="str">
        <f>IFERROR(VLOOKUP($B6&amp;AC$1,Import!$P:$Q,2,FALSE),"")</f>
        <v/>
      </c>
      <c r="AD6" s="7" t="str">
        <f>IFERROR(VLOOKUP($B6&amp;AD$1,Import!$P:$Q,2,FALSE),"")</f>
        <v/>
      </c>
      <c r="AE6" s="6" t="str">
        <f>IFERROR(VALUE(IFERROR(VLOOKUP($B6&amp;AE$1,Import!$P:$Q,2,FALSE),"")),IFERROR(VLOOKUP($B6&amp;AE$1,Import!$P:$Q,2,FALSE),""))</f>
        <v/>
      </c>
      <c r="AF6" s="6" t="str">
        <f>IFERROR(VALUE(IFERROR(VLOOKUP($B6&amp;AF$1,Import!$P:$Q,2,FALSE),"")),IFERROR(VLOOKUP($B6&amp;AF$1,Import!$P:$Q,2,FALSE),""))</f>
        <v/>
      </c>
      <c r="AG6" s="6" t="str">
        <f>IFERROR(VALUE(IFERROR(VLOOKUP($B6&amp;AG$1,Import!$P:$Q,2,FALSE),"")),IFERROR(VLOOKUP($B6&amp;AG$1,Import!$P:$Q,2,FALSE),""))</f>
        <v/>
      </c>
      <c r="AH6" s="6" t="str">
        <f>IFERROR(VALUE(IFERROR(VLOOKUP($B6&amp;AH$1,Import!$P:$Q,2,FALSE),"")),IFERROR(VLOOKUP($B6&amp;AH$1,Import!$P:$Q,2,FALSE),""))</f>
        <v/>
      </c>
      <c r="AI6" s="6" t="str">
        <f>IFERROR(VALUE(IFERROR(VLOOKUP($B6&amp;AI$1,Import!$P:$Q,2,FALSE),"")),IFERROR(VLOOKUP($B6&amp;AI$1,Import!$P:$Q,2,FALSE),""))</f>
        <v/>
      </c>
      <c r="AJ6" s="6" t="str">
        <f>IFERROR(VALUE(IFERROR(VLOOKUP($B6&amp;AJ$1,Import!$P:$Q,2,FALSE),"")),IFERROR(VLOOKUP($B6&amp;AJ$1,Import!$P:$Q,2,FALSE),""))</f>
        <v/>
      </c>
      <c r="AK6" s="6" t="str">
        <f>IFERROR(VALUE(IFERROR(VLOOKUP($B6&amp;AK$1,Import!$P:$Q,2,FALSE),"")),IFERROR(VLOOKUP($B6&amp;AK$1,Import!$P:$Q,2,FALSE),""))</f>
        <v/>
      </c>
      <c r="AL6" s="6">
        <f>IFERROR(VALUE(IFERROR(VLOOKUP($B6&amp;AL$1,Import!$P:$Q,2,FALSE),"")),IFERROR(VLOOKUP($B6&amp;AL$1,Import!$P:$Q,2,FALSE),""))</f>
        <v>9</v>
      </c>
      <c r="AM6" s="6" t="str">
        <f>IFERROR(VALUE(IFERROR(VLOOKUP($B6&amp;AM$1,Import!$P:$Q,2,FALSE),"")),IFERROR(VLOOKUP($B6&amp;AM$1,Import!$P:$Q,2,FALSE),""))</f>
        <v/>
      </c>
      <c r="AN6" s="7"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7" t="str">
        <f>IFERROR(VLOOKUP($B6&amp;AO$1,Import!$P:$Q,2,FALSE),"")</f>
        <v/>
      </c>
      <c r="AP6" s="6" t="str">
        <f>IFERROR(VLOOKUP($B6&amp;AP$1,Import!$P:$Q,2,FALSE),"")</f>
        <v/>
      </c>
    </row>
    <row r="7" spans="1:42">
      <c r="Z7" s="6"/>
      <c r="AD7" s="7"/>
      <c r="AN7" s="7"/>
      <c r="AO7" s="7"/>
    </row>
    <row r="8" spans="1:42">
      <c r="Z8" s="6"/>
      <c r="AD8" s="7"/>
      <c r="AN8" s="7"/>
    </row>
    <row r="9" spans="1:42">
      <c r="Z9" s="6"/>
      <c r="AD9" s="7"/>
      <c r="AN9" s="7"/>
    </row>
    <row r="10" spans="1:42">
      <c r="Z10" s="6"/>
      <c r="AD10" s="7"/>
      <c r="AN10" s="7"/>
    </row>
    <row r="11" spans="1:42">
      <c r="Z11" s="6"/>
      <c r="AD11" s="7"/>
      <c r="AN11" s="7"/>
    </row>
    <row r="12" spans="1:42">
      <c r="Z12" s="6"/>
      <c r="AD12" s="7"/>
      <c r="AN12" s="7"/>
    </row>
    <row r="13" spans="1:42">
      <c r="Z13" s="6"/>
      <c r="AD13" s="7"/>
      <c r="AN13" s="7"/>
    </row>
    <row r="14" spans="1:42">
      <c r="Z14" s="6"/>
      <c r="AD14" s="7"/>
      <c r="AN14" s="7"/>
    </row>
    <row r="15" spans="1:42">
      <c r="Z15" s="6"/>
      <c r="AD15" s="7"/>
      <c r="AN15" s="7"/>
    </row>
    <row r="16" spans="1:42">
      <c r="Z16" s="6"/>
      <c r="AD16" s="7"/>
      <c r="AN16" s="7"/>
    </row>
    <row r="17" spans="26:40">
      <c r="Z17" s="6"/>
      <c r="AD17" s="7"/>
      <c r="AN17" s="7"/>
    </row>
    <row r="18" spans="26:40">
      <c r="Z18" s="6"/>
      <c r="AD18" s="7"/>
      <c r="AN18" s="7"/>
    </row>
    <row r="19" spans="26:40">
      <c r="Z19" s="6"/>
      <c r="AD19" s="7"/>
      <c r="AN19" s="7"/>
    </row>
    <row r="20" spans="26:40">
      <c r="Z20" s="6"/>
      <c r="AD20" s="7"/>
      <c r="AN20" s="7"/>
    </row>
    <row r="21" spans="26:40">
      <c r="Z21" s="6"/>
      <c r="AD21" s="7"/>
      <c r="AN21" s="7"/>
    </row>
    <row r="22" spans="26:40">
      <c r="Z22" s="6"/>
      <c r="AD22" s="7"/>
      <c r="AN22" s="7"/>
    </row>
    <row r="23" spans="26:40">
      <c r="Z23" s="6"/>
      <c r="AD23" s="7"/>
      <c r="AN23" s="7"/>
    </row>
    <row r="24" spans="26:40">
      <c r="Z24" s="6"/>
      <c r="AD24" s="7"/>
      <c r="AN24" s="7"/>
    </row>
    <row r="25" spans="26:40">
      <c r="Z25" s="6"/>
      <c r="AD25" s="7"/>
      <c r="AN25" s="7"/>
    </row>
    <row r="26" spans="26:40">
      <c r="Z26" s="6"/>
      <c r="AD26" s="7"/>
      <c r="AN26" s="7"/>
    </row>
    <row r="27" spans="26:40">
      <c r="Z27" s="6"/>
      <c r="AD27" s="7"/>
      <c r="AN27" s="7"/>
    </row>
    <row r="28" spans="26:40">
      <c r="Z28" s="6"/>
      <c r="AD28" s="7"/>
      <c r="AN28" s="7"/>
    </row>
    <row r="29" spans="26:40">
      <c r="Z29" s="6"/>
      <c r="AD29" s="7"/>
      <c r="AN29" s="7"/>
    </row>
    <row r="30" spans="26:40">
      <c r="Z30" s="6"/>
      <c r="AD30" s="7"/>
      <c r="AN30" s="7"/>
    </row>
    <row r="31" spans="26:40">
      <c r="Z31" s="6"/>
      <c r="AD31" s="7"/>
      <c r="AN31" s="7"/>
    </row>
    <row r="32" spans="26:40">
      <c r="Z32" s="6"/>
      <c r="AD32" s="7"/>
      <c r="AN32" s="7"/>
    </row>
    <row r="33" spans="26:40">
      <c r="Z33" s="6"/>
      <c r="AD33" s="7"/>
      <c r="AN33" s="7"/>
    </row>
    <row r="34" spans="26:40">
      <c r="Z34" s="6"/>
      <c r="AD34" s="7"/>
      <c r="AN34" s="7"/>
    </row>
    <row r="35" spans="26:40">
      <c r="Z35" s="6"/>
      <c r="AD35" s="7"/>
      <c r="AN35" s="7"/>
    </row>
    <row r="36" spans="26:40">
      <c r="Z36" s="6"/>
      <c r="AD36" s="7"/>
      <c r="AN36" s="7"/>
    </row>
    <row r="37" spans="26:40">
      <c r="Z37" s="6"/>
      <c r="AD37" s="7"/>
      <c r="AN37" s="7"/>
    </row>
    <row r="38" spans="26:40">
      <c r="Z38" s="6"/>
      <c r="AD38" s="7"/>
      <c r="AN38" s="7"/>
    </row>
    <row r="39" spans="26:40">
      <c r="Z39" s="6"/>
      <c r="AD39" s="7"/>
      <c r="AN39" s="7"/>
    </row>
    <row r="40" spans="26:40">
      <c r="Z40" s="6"/>
      <c r="AD40" s="7"/>
      <c r="AN40" s="7"/>
    </row>
    <row r="41" spans="26:40">
      <c r="Z41" s="6"/>
      <c r="AD41" s="7"/>
      <c r="AN41" s="7"/>
    </row>
    <row r="42" spans="26:40">
      <c r="Z42" s="6"/>
      <c r="AD42" s="7"/>
      <c r="AN42" s="7"/>
    </row>
    <row r="43" spans="26:40">
      <c r="Z43" s="6"/>
      <c r="AD43" s="7"/>
      <c r="AN43" s="7"/>
    </row>
    <row r="44" spans="26:40">
      <c r="Z44" s="6"/>
      <c r="AD44" s="7"/>
      <c r="AN44" s="7"/>
    </row>
    <row r="45" spans="26:40">
      <c r="Z45" s="6"/>
      <c r="AD45" s="7"/>
      <c r="AN45" s="7"/>
    </row>
    <row r="46" spans="26:40">
      <c r="Z46" s="6"/>
      <c r="AD46" s="7"/>
      <c r="AN46" s="7"/>
    </row>
    <row r="47" spans="26:40">
      <c r="Z47" s="6"/>
      <c r="AD47" s="7"/>
      <c r="AN47" s="7"/>
    </row>
    <row r="48" spans="26:40">
      <c r="Z48" s="6"/>
      <c r="AD48" s="7"/>
      <c r="AN48" s="7"/>
    </row>
    <row r="49" spans="26:40">
      <c r="Z49" s="6"/>
      <c r="AD49" s="7"/>
      <c r="AN49" s="7"/>
    </row>
    <row r="50" spans="26:40">
      <c r="Z50" s="6"/>
      <c r="AD50" s="7"/>
      <c r="AN50" s="7"/>
    </row>
    <row r="51" spans="26:40">
      <c r="Z51" s="6"/>
      <c r="AD51" s="7"/>
      <c r="AN51" s="7"/>
    </row>
    <row r="52" spans="26:40">
      <c r="Z52" s="6"/>
      <c r="AD52" s="7"/>
      <c r="AN52" s="7"/>
    </row>
    <row r="53" spans="26:40">
      <c r="Z53" s="6"/>
      <c r="AD53" s="7"/>
      <c r="AN53" s="7"/>
    </row>
    <row r="54" spans="26:40">
      <c r="Z54" s="6"/>
      <c r="AD54" s="7"/>
      <c r="AN54" s="7"/>
    </row>
    <row r="55" spans="26:40">
      <c r="Z55" s="6"/>
      <c r="AD55" s="7"/>
      <c r="AN55" s="7"/>
    </row>
    <row r="56" spans="26:40">
      <c r="Z56" s="6"/>
      <c r="AD56" s="7"/>
      <c r="AN56" s="7"/>
    </row>
    <row r="57" spans="26:40">
      <c r="Z57" s="6"/>
      <c r="AD57" s="7"/>
      <c r="AN57" s="7"/>
    </row>
    <row r="58" spans="26:40">
      <c r="Z58" s="6"/>
      <c r="AD58" s="7"/>
      <c r="AN58" s="7"/>
    </row>
    <row r="59" spans="26:40">
      <c r="Z59" s="6"/>
      <c r="AD59" s="7"/>
      <c r="AN59" s="7"/>
    </row>
    <row r="60" spans="26:40">
      <c r="Z60" s="6"/>
      <c r="AD60" s="7"/>
      <c r="AN60" s="7"/>
    </row>
    <row r="61" spans="26:40">
      <c r="Z61" s="6"/>
      <c r="AD61" s="7"/>
      <c r="AN61" s="7"/>
    </row>
    <row r="62" spans="26:40">
      <c r="Z62" s="6"/>
      <c r="AD62" s="7"/>
      <c r="AN62" s="7"/>
    </row>
    <row r="63" spans="26:40">
      <c r="Z63" s="6"/>
      <c r="AD63" s="7"/>
      <c r="AN63" s="7"/>
    </row>
    <row r="64" spans="26:40">
      <c r="Z64" s="6"/>
      <c r="AD64" s="7"/>
      <c r="AN64" s="7"/>
    </row>
    <row r="65" spans="26:40">
      <c r="Z65" s="6"/>
      <c r="AD65" s="7"/>
      <c r="AN65" s="7"/>
    </row>
    <row r="66" spans="26:40">
      <c r="Z66" s="6"/>
      <c r="AD66" s="7"/>
      <c r="AN66" s="7"/>
    </row>
    <row r="67" spans="26:40">
      <c r="Z67" s="6"/>
      <c r="AD67" s="7"/>
      <c r="AN67" s="7"/>
    </row>
    <row r="68" spans="26:40">
      <c r="Z68" s="6"/>
      <c r="AD68" s="7"/>
      <c r="AN68" s="7"/>
    </row>
    <row r="69" spans="26:40">
      <c r="Z69" s="6"/>
      <c r="AD69" s="7"/>
      <c r="AN69" s="7"/>
    </row>
    <row r="70" spans="26:40">
      <c r="Z70" s="6"/>
      <c r="AD70" s="7"/>
      <c r="AN70" s="7"/>
    </row>
    <row r="71" spans="26:40">
      <c r="Z71" s="6"/>
      <c r="AD71" s="7"/>
      <c r="AN71" s="7"/>
    </row>
    <row r="72" spans="26:40">
      <c r="Z72" s="6"/>
      <c r="AD72" s="7"/>
      <c r="AN72" s="7"/>
    </row>
    <row r="73" spans="26:40">
      <c r="Z73" s="6"/>
      <c r="AD73" s="7"/>
      <c r="AN73" s="7"/>
    </row>
    <row r="74" spans="26:40">
      <c r="Z74" s="6"/>
      <c r="AD74" s="7"/>
      <c r="AN74" s="7"/>
    </row>
    <row r="75" spans="26:40">
      <c r="Z75" s="6"/>
      <c r="AD75" s="7"/>
      <c r="AN75" s="7"/>
    </row>
    <row r="76" spans="26:40">
      <c r="Z76" s="6"/>
      <c r="AD76" s="7"/>
      <c r="AN76" s="7"/>
    </row>
    <row r="77" spans="26:40">
      <c r="Z77" s="6"/>
      <c r="AD77" s="7"/>
      <c r="AN77" s="7"/>
    </row>
    <row r="78" spans="26:40">
      <c r="Z78" s="6"/>
      <c r="AD78" s="7"/>
      <c r="AN78" s="7"/>
    </row>
    <row r="79" spans="26:40">
      <c r="Z79" s="6"/>
      <c r="AD79" s="7"/>
      <c r="AN79" s="7"/>
    </row>
    <row r="80" spans="26:40">
      <c r="Z80" s="6"/>
      <c r="AD80" s="7"/>
      <c r="AN80" s="7"/>
    </row>
    <row r="81" spans="26:40">
      <c r="Z81" s="6"/>
      <c r="AD81" s="7"/>
      <c r="AN81" s="7"/>
    </row>
    <row r="82" spans="26:40">
      <c r="Z82" s="6"/>
      <c r="AD82" s="7"/>
      <c r="AN82" s="7"/>
    </row>
    <row r="83" spans="26:40">
      <c r="Z83" s="6"/>
      <c r="AD83" s="7"/>
      <c r="AN83" s="7"/>
    </row>
    <row r="84" spans="26:40">
      <c r="Z84" s="6"/>
      <c r="AD84" s="7"/>
      <c r="AN84" s="7"/>
    </row>
    <row r="85" spans="26:40">
      <c r="Z85" s="6"/>
      <c r="AD85" s="7"/>
      <c r="AN85" s="7"/>
    </row>
    <row r="86" spans="26:40">
      <c r="Z86" s="6"/>
      <c r="AD86" s="7"/>
      <c r="AN86" s="7"/>
    </row>
    <row r="87" spans="26:40">
      <c r="Z87" s="6"/>
      <c r="AD87" s="7"/>
      <c r="AN87" s="7"/>
    </row>
    <row r="88" spans="26:40">
      <c r="Z88" s="6"/>
      <c r="AD88" s="7"/>
      <c r="AN88" s="7"/>
    </row>
    <row r="89" spans="26:40">
      <c r="Z89" s="6"/>
      <c r="AD89" s="7"/>
      <c r="AN89" s="7"/>
    </row>
    <row r="90" spans="26:40">
      <c r="Z90" s="6"/>
      <c r="AD90" s="7"/>
      <c r="AN90" s="7"/>
    </row>
    <row r="91" spans="26:40">
      <c r="Z91" s="6"/>
      <c r="AD91" s="7"/>
      <c r="AN91" s="7"/>
    </row>
    <row r="92" spans="26:40">
      <c r="Z92" s="6"/>
      <c r="AD92" s="7"/>
      <c r="AN92" s="7"/>
    </row>
    <row r="93" spans="26:40">
      <c r="Z93" s="6"/>
      <c r="AD93" s="7"/>
      <c r="AN93" s="7"/>
    </row>
    <row r="94" spans="26:40">
      <c r="Z94" s="6"/>
      <c r="AD94" s="7"/>
      <c r="AN94" s="7"/>
    </row>
    <row r="95" spans="26:40">
      <c r="Z95" s="6"/>
      <c r="AD95" s="7"/>
      <c r="AN95" s="7"/>
    </row>
    <row r="96" spans="26:40">
      <c r="Z96" s="6"/>
      <c r="AD96" s="7"/>
      <c r="AN96" s="7"/>
    </row>
    <row r="97" spans="26:40">
      <c r="Z97" s="6"/>
      <c r="AD97" s="7"/>
      <c r="AN97" s="7"/>
    </row>
    <row r="98" spans="26:40">
      <c r="Z98" s="6"/>
      <c r="AD98" s="7"/>
      <c r="AN98" s="7"/>
    </row>
    <row r="99" spans="26:40">
      <c r="Z99" s="6"/>
      <c r="AD99" s="7"/>
      <c r="AN99" s="7"/>
    </row>
    <row r="100" spans="26:40">
      <c r="Z100" s="6"/>
      <c r="AD100" s="7"/>
      <c r="AN100" s="7"/>
    </row>
    <row r="101" spans="26:40">
      <c r="Z101" s="6"/>
      <c r="AD101" s="7"/>
      <c r="AN101" s="7"/>
    </row>
    <row r="102" spans="26:40">
      <c r="Z102" s="6"/>
      <c r="AD102" s="7"/>
      <c r="AN102" s="7"/>
    </row>
    <row r="103" spans="26:40">
      <c r="Z103" s="6"/>
      <c r="AD103" s="7"/>
      <c r="AN103" s="7"/>
    </row>
    <row r="104" spans="26:40">
      <c r="Z104" s="6"/>
      <c r="AD104" s="7"/>
      <c r="AN104" s="7"/>
    </row>
    <row r="105" spans="26:40">
      <c r="Z105" s="6"/>
      <c r="AD105" s="7"/>
      <c r="AN105" s="7"/>
    </row>
    <row r="106" spans="26:40">
      <c r="Z106" s="6"/>
      <c r="AD106" s="7"/>
      <c r="AN106" s="7"/>
    </row>
    <row r="107" spans="26:40">
      <c r="Z107" s="6"/>
      <c r="AD107" s="7"/>
      <c r="AN107" s="7"/>
    </row>
    <row r="108" spans="26:40">
      <c r="Z108" s="6"/>
      <c r="AD108" s="7"/>
      <c r="AN108" s="7"/>
    </row>
    <row r="109" spans="26:40">
      <c r="Z109" s="6"/>
      <c r="AD109" s="7"/>
      <c r="AN109" s="7"/>
    </row>
    <row r="110" spans="26:40">
      <c r="Z110" s="6"/>
      <c r="AD110" s="7"/>
      <c r="AN110" s="7"/>
    </row>
    <row r="111" spans="26:40">
      <c r="Z111" s="6"/>
      <c r="AD111" s="7"/>
      <c r="AN111" s="7"/>
    </row>
    <row r="112" spans="26:40">
      <c r="Z112" s="6"/>
      <c r="AD112" s="7"/>
      <c r="AN112" s="7"/>
    </row>
    <row r="113" spans="26:40">
      <c r="Z113" s="6"/>
      <c r="AD113" s="7"/>
      <c r="AN113" s="7"/>
    </row>
    <row r="114" spans="26:40">
      <c r="Z114" s="6"/>
      <c r="AD114" s="7"/>
      <c r="AN114" s="7"/>
    </row>
    <row r="115" spans="26:40">
      <c r="Z115" s="6"/>
      <c r="AD115" s="7"/>
      <c r="AN115" s="7"/>
    </row>
    <row r="116" spans="26:40">
      <c r="Z116" s="6"/>
      <c r="AD116" s="7"/>
      <c r="AN116" s="7"/>
    </row>
    <row r="117" spans="26:40">
      <c r="Z117" s="6"/>
      <c r="AD117" s="7"/>
      <c r="AN117" s="7"/>
    </row>
    <row r="118" spans="26:40">
      <c r="Z118" s="6"/>
      <c r="AD118" s="7"/>
      <c r="AN118" s="7"/>
    </row>
    <row r="119" spans="26:40">
      <c r="Z119" s="6"/>
      <c r="AD119" s="7"/>
      <c r="AN119" s="7"/>
    </row>
    <row r="120" spans="26:40">
      <c r="Z120" s="6"/>
      <c r="AD120" s="7"/>
      <c r="AN120" s="7"/>
    </row>
    <row r="121" spans="26:40">
      <c r="Z121" s="6"/>
      <c r="AD121" s="7"/>
      <c r="AN121" s="7"/>
    </row>
    <row r="122" spans="26:40">
      <c r="Z122" s="6"/>
      <c r="AD122" s="7"/>
      <c r="AN122" s="7"/>
    </row>
    <row r="123" spans="26:40">
      <c r="Z123" s="6"/>
      <c r="AD123" s="7"/>
      <c r="AN123" s="7"/>
    </row>
    <row r="124" spans="26:40">
      <c r="Z124" s="6"/>
      <c r="AD124" s="7"/>
      <c r="AN124" s="7"/>
    </row>
    <row r="125" spans="26:40">
      <c r="Z125" s="6"/>
      <c r="AD125" s="7"/>
      <c r="AN125" s="7"/>
    </row>
    <row r="126" spans="26:40">
      <c r="Z126" s="6"/>
      <c r="AD126" s="7"/>
      <c r="AN126" s="7"/>
    </row>
    <row r="127" spans="26:40">
      <c r="Z127" s="6"/>
      <c r="AD127" s="7"/>
      <c r="AN127" s="7"/>
    </row>
    <row r="128" spans="26:40">
      <c r="Z128" s="6"/>
      <c r="AD128" s="7"/>
      <c r="AN128" s="7"/>
    </row>
    <row r="129" spans="26:40">
      <c r="Z129" s="6"/>
      <c r="AD129" s="7"/>
      <c r="AN129" s="7"/>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I3"/>
  <sheetViews>
    <sheetView workbookViewId="0">
      <selection activeCell="B3" sqref="B3"/>
    </sheetView>
  </sheetViews>
  <sheetFormatPr defaultRowHeight="15"/>
  <cols>
    <col min="1" max="1" width="36.7109375" style="21" bestFit="1" customWidth="1"/>
    <col min="2" max="2" width="32.42578125" style="21" bestFit="1" customWidth="1"/>
    <col min="3" max="3" width="9.140625" style="21"/>
    <col min="4" max="4" width="3.7109375" style="21" customWidth="1"/>
    <col min="5" max="5" width="10.85546875" style="21" bestFit="1" customWidth="1"/>
    <col min="6" max="6" width="10.85546875" style="21" customWidth="1"/>
    <col min="7" max="7" width="9.7109375" style="21" bestFit="1" customWidth="1"/>
    <col min="8" max="8" width="12.28515625" style="21" bestFit="1" customWidth="1"/>
    <col min="9" max="9" width="9.140625" style="21"/>
    <col min="10" max="10" width="3.140625" style="21" customWidth="1"/>
    <col min="11" max="17" width="9.140625" style="21"/>
    <col min="18" max="18" width="3.140625" style="21" customWidth="1"/>
    <col min="19" max="23" width="9.140625" style="21"/>
    <col min="24" max="24" width="2.5703125" style="21" customWidth="1"/>
    <col min="25" max="16384" width="9.140625" style="21"/>
  </cols>
  <sheetData>
    <row r="1" spans="1:35">
      <c r="A1" s="18" t="s">
        <v>13</v>
      </c>
      <c r="B1" s="19" t="s">
        <v>114</v>
      </c>
      <c r="C1" s="20" t="s">
        <v>56</v>
      </c>
      <c r="E1" s="64" t="s">
        <v>139</v>
      </c>
      <c r="F1" s="65"/>
      <c r="G1" s="65"/>
      <c r="H1" s="65"/>
      <c r="I1" s="66"/>
      <c r="J1" s="35"/>
      <c r="K1" s="63" t="s">
        <v>14</v>
      </c>
      <c r="L1" s="63"/>
      <c r="M1" s="63"/>
      <c r="N1" s="63"/>
      <c r="O1" s="63"/>
      <c r="P1" s="63"/>
      <c r="Q1" s="63"/>
      <c r="R1" s="32"/>
      <c r="S1" s="63" t="s">
        <v>15</v>
      </c>
      <c r="T1" s="63"/>
      <c r="U1" s="63"/>
      <c r="V1" s="63"/>
      <c r="W1" s="63"/>
      <c r="X1" s="32"/>
      <c r="Y1" s="63" t="s">
        <v>117</v>
      </c>
      <c r="Z1" s="63"/>
      <c r="AA1" s="63"/>
      <c r="AB1" s="63"/>
      <c r="AC1" s="63"/>
      <c r="AD1" s="63"/>
      <c r="AE1" s="63"/>
      <c r="AF1" s="63"/>
      <c r="AG1" s="63"/>
      <c r="AH1" s="63"/>
      <c r="AI1" s="63"/>
    </row>
    <row r="2" spans="1:35">
      <c r="A2" s="23" t="s">
        <v>112</v>
      </c>
      <c r="B2" s="23" t="s">
        <v>113</v>
      </c>
      <c r="C2" s="23" t="s">
        <v>4</v>
      </c>
      <c r="E2" s="33" t="s">
        <v>135</v>
      </c>
      <c r="F2" s="33" t="s">
        <v>138</v>
      </c>
      <c r="G2" s="33" t="s">
        <v>136</v>
      </c>
      <c r="H2" s="33" t="s">
        <v>137</v>
      </c>
      <c r="I2" s="33" t="s">
        <v>44</v>
      </c>
      <c r="J2" s="33"/>
      <c r="K2" s="33" t="s">
        <v>33</v>
      </c>
      <c r="L2" s="33" t="s">
        <v>130</v>
      </c>
      <c r="M2" s="33" t="s">
        <v>41</v>
      </c>
      <c r="N2" s="33" t="s">
        <v>131</v>
      </c>
      <c r="O2" s="33" t="s">
        <v>42</v>
      </c>
      <c r="P2" s="33" t="s">
        <v>43</v>
      </c>
      <c r="Q2" s="33" t="s">
        <v>129</v>
      </c>
      <c r="R2" s="33"/>
      <c r="S2" s="33" t="s">
        <v>34</v>
      </c>
      <c r="T2" s="33" t="s">
        <v>133</v>
      </c>
      <c r="U2" s="33" t="s">
        <v>132</v>
      </c>
      <c r="V2" s="33" t="s">
        <v>39</v>
      </c>
      <c r="W2" s="33" t="s">
        <v>134</v>
      </c>
      <c r="X2" s="33"/>
      <c r="Y2" s="33" t="s">
        <v>118</v>
      </c>
      <c r="Z2" s="33" t="s">
        <v>119</v>
      </c>
      <c r="AA2" s="33" t="s">
        <v>120</v>
      </c>
      <c r="AB2" s="33" t="s">
        <v>121</v>
      </c>
      <c r="AC2" s="33" t="s">
        <v>122</v>
      </c>
      <c r="AD2" s="33" t="s">
        <v>123</v>
      </c>
      <c r="AE2" s="33" t="s">
        <v>124</v>
      </c>
      <c r="AF2" s="33" t="s">
        <v>125</v>
      </c>
      <c r="AG2" s="33" t="s">
        <v>126</v>
      </c>
      <c r="AH2" s="33" t="s">
        <v>127</v>
      </c>
      <c r="AI2" s="33" t="s">
        <v>128</v>
      </c>
    </row>
    <row r="3" spans="1:35">
      <c r="A3" s="21" t="s">
        <v>141</v>
      </c>
      <c r="B3" s="21" t="s">
        <v>140</v>
      </c>
      <c r="C3" s="22" t="s">
        <v>79</v>
      </c>
      <c r="E3" s="34">
        <f>SUMIF('Card Data'!$A:$A,$A3,'Card Data'!$E:$E)</f>
        <v>0</v>
      </c>
      <c r="F3" s="34">
        <f>COUNTIFS('Card Data'!$I:$I,K$2,'Card Data'!$A:$A,$A3)</f>
        <v>0</v>
      </c>
      <c r="G3" s="34">
        <f>SUMIFS('Card Data'!$E:$E,'Card Data'!$A:$A,$A3,'Card Data'!$J:$J,"&lt;&gt;",'Card Data'!$I:$I,"&lt;&gt;Hero")</f>
        <v>0</v>
      </c>
      <c r="H3" s="34">
        <f>SUMIFS('Card Data'!$E:$E,'Card Data'!$A:$A,$A3,'Card Data'!$J:$J,"")-I3</f>
        <v>0</v>
      </c>
      <c r="I3" s="34">
        <f>COUNTIFS('Card Data'!$I:$I,I$2,'Card Data'!$A:$A,$A3,'Card Data'!$K:$K,"&lt;&gt;*Side Quest.*")</f>
        <v>0</v>
      </c>
      <c r="J3" s="34"/>
      <c r="K3" s="34">
        <f>COUNTIFS('Card Data'!$I:$I,K$2,'Card Data'!$A:$A,$A3)</f>
        <v>0</v>
      </c>
      <c r="L3" s="34">
        <f>COUNTIFS('Card Data'!$I:$I,L$2,'Card Data'!$A:$A,$A3)</f>
        <v>0</v>
      </c>
      <c r="M3" s="34">
        <f>COUNTIFS('Card Data'!$I:$I,M$2,'Card Data'!$A:$A,$A3)</f>
        <v>0</v>
      </c>
      <c r="N3" s="34">
        <f>COUNTIFS('Card Data'!$I:$I,N$2,'Card Data'!$A:$A,$A3)</f>
        <v>0</v>
      </c>
      <c r="O3" s="34">
        <f>COUNTIFS('Card Data'!$I:$I,O$2,'Card Data'!$A:$A,$A3)</f>
        <v>0</v>
      </c>
      <c r="P3" s="34">
        <f>COUNTIFS('Card Data'!$I:$I,P$2,'Card Data'!$A:$A,$A3)</f>
        <v>0</v>
      </c>
      <c r="Q3" s="34">
        <f>COUNTIFS('Card Data'!$I:$I,Q$2,'Card Data'!$A:$A,$A3)</f>
        <v>0</v>
      </c>
      <c r="R3" s="34"/>
      <c r="S3" s="34">
        <f>COUNTIFS('Card Data'!$J:$J,S$2,'Card Data'!$A:$A,$A3)</f>
        <v>0</v>
      </c>
      <c r="T3" s="34">
        <f>COUNTIFS('Card Data'!$J:$J,T$2,'Card Data'!$A:$A,$A3)</f>
        <v>0</v>
      </c>
      <c r="U3" s="34">
        <f>COUNTIFS('Card Data'!$J:$J,U$2,'Card Data'!$A:$A,$A3)</f>
        <v>0</v>
      </c>
      <c r="V3" s="34">
        <f>COUNTIFS('Card Data'!$J:$J,V$2,'Card Data'!$A:$A,$A3)</f>
        <v>0</v>
      </c>
      <c r="W3" s="34">
        <f>COUNTIFS('Card Data'!$J:$J,W$2,'Card Data'!$A:$A,$A3)</f>
        <v>0</v>
      </c>
      <c r="X3" s="34"/>
      <c r="Y3" s="34" t="str">
        <f>IF(COUNTIFS('Card Data'!$K:$K,"*"&amp;Y$2&amp;".*",'Card Data'!$A:$A,$A3)=0,"",IF(COUNTIFS('Card Data'!$K:$K,"*"&amp;Y$2&amp;".*",'Card Data'!$A:$A,$A3,'Card Data'!$I:$I,"Hero")=0,COUNTIFS('Card Data'!$K:$K,"*"&amp;Y$2&amp;".*",'Card Data'!$A:$A,$A3),COUNTIFS('Card Data'!$K:$K,"*"&amp;Y$2&amp;".*",'Card Data'!$A:$A,$A3)&amp;" ("&amp;COUNTIFS('Card Data'!$K:$K,"*"&amp;Y$2&amp;".*",'Card Data'!$A:$A,$A3,'Card Data'!$I:$I,"Hero")&amp;")"))</f>
        <v/>
      </c>
      <c r="Z3" s="34" t="str">
        <f>IF(COUNTIFS('Card Data'!$K:$K,"*"&amp;Z$2&amp;".*",'Card Data'!$A:$A,$A3)=0,"",IF(COUNTIFS('Card Data'!$K:$K,"*"&amp;Z$2&amp;".*",'Card Data'!$A:$A,$A3,'Card Data'!$I:$I,"Hero")=0,COUNTIFS('Card Data'!$K:$K,"*"&amp;Z$2&amp;".*",'Card Data'!$A:$A,$A3),COUNTIFS('Card Data'!$K:$K,"*"&amp;Z$2&amp;".*",'Card Data'!$A:$A,$A3)&amp;" ("&amp;COUNTIFS('Card Data'!$K:$K,"*"&amp;Z$2&amp;".*",'Card Data'!$A:$A,$A3,'Card Data'!$I:$I,"Hero")&amp;")"))</f>
        <v/>
      </c>
      <c r="AA3" s="34" t="str">
        <f>IF(COUNTIFS('Card Data'!$K:$K,"*"&amp;AA$2&amp;".*",'Card Data'!$A:$A,$A3)=0,"",IF(COUNTIFS('Card Data'!$K:$K,"*"&amp;AA$2&amp;".*",'Card Data'!$A:$A,$A3,'Card Data'!$I:$I,"Hero")=0,COUNTIFS('Card Data'!$K:$K,"*"&amp;AA$2&amp;".*",'Card Data'!$A:$A,$A3),COUNTIFS('Card Data'!$K:$K,"*"&amp;AA$2&amp;".*",'Card Data'!$A:$A,$A3)&amp;" ("&amp;COUNTIFS('Card Data'!$K:$K,"*"&amp;AA$2&amp;".*",'Card Data'!$A:$A,$A3,'Card Data'!$I:$I,"Hero")&amp;")"))</f>
        <v/>
      </c>
      <c r="AB3" s="34" t="str">
        <f>IF(COUNTIFS('Card Data'!$K:$K,"*"&amp;AB$2&amp;".*",'Card Data'!$A:$A,$A3)=0,"",IF(COUNTIFS('Card Data'!$K:$K,"*"&amp;AB$2&amp;".*",'Card Data'!$A:$A,$A3,'Card Data'!$I:$I,"Hero")=0,COUNTIFS('Card Data'!$K:$K,"*"&amp;AB$2&amp;".*",'Card Data'!$A:$A,$A3),COUNTIFS('Card Data'!$K:$K,"*"&amp;AB$2&amp;".*",'Card Data'!$A:$A,$A3)&amp;" ("&amp;COUNTIFS('Card Data'!$K:$K,"*"&amp;AB$2&amp;".*",'Card Data'!$A:$A,$A3,'Card Data'!$I:$I,"Hero")&amp;")"))</f>
        <v/>
      </c>
      <c r="AC3" s="34" t="str">
        <f>IF(COUNTIFS('Card Data'!$K:$K,"*"&amp;AC$2&amp;".*",'Card Data'!$A:$A,$A3)=0,"",IF(COUNTIFS('Card Data'!$K:$K,"*"&amp;AC$2&amp;".*",'Card Data'!$A:$A,$A3,'Card Data'!$I:$I,"Hero")=0,COUNTIFS('Card Data'!$K:$K,"*"&amp;AC$2&amp;".*",'Card Data'!$A:$A,$A3),COUNTIFS('Card Data'!$K:$K,"*"&amp;AC$2&amp;".*",'Card Data'!$A:$A,$A3)&amp;" ("&amp;COUNTIFS('Card Data'!$K:$K,"*"&amp;AC$2&amp;".*",'Card Data'!$A:$A,$A3,'Card Data'!$I:$I,"Hero")&amp;")"))</f>
        <v/>
      </c>
      <c r="AD3" s="34" t="str">
        <f>IF(COUNTIFS('Card Data'!$K:$K,"*"&amp;AD$2&amp;".*",'Card Data'!$A:$A,$A3)=0,"",IF(COUNTIFS('Card Data'!$K:$K,"*"&amp;AD$2&amp;".*",'Card Data'!$A:$A,$A3,'Card Data'!$I:$I,"Hero")=0,COUNTIFS('Card Data'!$K:$K,"*"&amp;AD$2&amp;".*",'Card Data'!$A:$A,$A3),COUNTIFS('Card Data'!$K:$K,"*"&amp;AD$2&amp;".*",'Card Data'!$A:$A,$A3)&amp;" ("&amp;COUNTIFS('Card Data'!$K:$K,"*"&amp;AD$2&amp;".*",'Card Data'!$A:$A,$A3,'Card Data'!$I:$I,"Hero")&amp;")"))</f>
        <v/>
      </c>
      <c r="AE3" s="34" t="str">
        <f>IF(COUNTIFS('Card Data'!$K:$K,"*"&amp;AE$2&amp;".*",'Card Data'!$A:$A,$A3)=0,"",IF(COUNTIFS('Card Data'!$K:$K,"*"&amp;AE$2&amp;".*",'Card Data'!$A:$A,$A3,'Card Data'!$I:$I,"Hero")=0,COUNTIFS('Card Data'!$K:$K,"*"&amp;AE$2&amp;".*",'Card Data'!$A:$A,$A3),COUNTIFS('Card Data'!$K:$K,"*"&amp;AE$2&amp;".*",'Card Data'!$A:$A,$A3)&amp;" ("&amp;COUNTIFS('Card Data'!$K:$K,"*"&amp;AE$2&amp;".*",'Card Data'!$A:$A,$A3,'Card Data'!$I:$I,"Hero")&amp;")"))</f>
        <v/>
      </c>
      <c r="AF3" s="34" t="str">
        <f>IF(COUNTIFS('Card Data'!$K:$K,"*"&amp;AF$2&amp;".*",'Card Data'!$A:$A,$A3)=0,"",IF(COUNTIFS('Card Data'!$K:$K,"*"&amp;AF$2&amp;".*",'Card Data'!$A:$A,$A3,'Card Data'!$I:$I,"Hero")=0,COUNTIFS('Card Data'!$K:$K,"*"&amp;AF$2&amp;".*",'Card Data'!$A:$A,$A3),COUNTIFS('Card Data'!$K:$K,"*"&amp;AF$2&amp;".*",'Card Data'!$A:$A,$A3)&amp;" ("&amp;COUNTIFS('Card Data'!$K:$K,"*"&amp;AF$2&amp;".*",'Card Data'!$A:$A,$A3,'Card Data'!$I:$I,"Hero")&amp;")"))</f>
        <v/>
      </c>
      <c r="AG3" s="34" t="str">
        <f>IF(COUNTIFS('Card Data'!$K:$K,"*"&amp;AG$2&amp;".*",'Card Data'!$A:$A,$A3)=0,"",IF(COUNTIFS('Card Data'!$K:$K,"*"&amp;AG$2&amp;".*",'Card Data'!$A:$A,$A3,'Card Data'!$I:$I,"Hero")=0,COUNTIFS('Card Data'!$K:$K,"*"&amp;AG$2&amp;".*",'Card Data'!$A:$A,$A3),COUNTIFS('Card Data'!$K:$K,"*"&amp;AG$2&amp;".*",'Card Data'!$A:$A,$A3)&amp;" ("&amp;COUNTIFS('Card Data'!$K:$K,"*"&amp;AG$2&amp;".*",'Card Data'!$A:$A,$A3,'Card Data'!$I:$I,"Hero")&amp;")"))</f>
        <v/>
      </c>
      <c r="AH3" s="34" t="str">
        <f>IF(COUNTIFS('Card Data'!$K:$K,"*"&amp;AH$2&amp;".*",'Card Data'!$A:$A,$A3)=0,"",IF(COUNTIFS('Card Data'!$K:$K,"*"&amp;AH$2&amp;".*",'Card Data'!$A:$A,$A3,'Card Data'!$I:$I,"Hero")=0,COUNTIFS('Card Data'!$K:$K,"*"&amp;AH$2&amp;".*",'Card Data'!$A:$A,$A3),COUNTIFS('Card Data'!$K:$K,"*"&amp;AH$2&amp;".*",'Card Data'!$A:$A,$A3)&amp;" ("&amp;COUNTIFS('Card Data'!$K:$K,"*"&amp;AH$2&amp;".*",'Card Data'!$A:$A,$A3,'Card Data'!$I:$I,"Hero")&amp;")"))</f>
        <v/>
      </c>
      <c r="AI3" s="34"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90" priority="29" operator="equal">
      <formula>"Fellowship"</formula>
    </cfRule>
    <cfRule type="cellIs" dxfId="89" priority="30" operator="equal">
      <formula>"Neutral"</formula>
    </cfRule>
    <cfRule type="cellIs" dxfId="88" priority="31" operator="equal">
      <formula>"Baggins"</formula>
    </cfRule>
    <cfRule type="cellIs" dxfId="87" priority="32" operator="equal">
      <formula>"Lore"</formula>
    </cfRule>
    <cfRule type="cellIs" dxfId="86" priority="33" operator="equal">
      <formula>"Spirit"</formula>
    </cfRule>
    <cfRule type="cellIs" dxfId="85" priority="34" operator="equal">
      <formula>"Tactics"</formula>
    </cfRule>
    <cfRule type="cellIs" dxfId="84" priority="35" operator="equal">
      <formula>"Leadership"</formula>
    </cfRule>
  </conditionalFormatting>
  <conditionalFormatting sqref="T2">
    <cfRule type="cellIs" dxfId="83" priority="22" operator="equal">
      <formula>"Fellowship"</formula>
    </cfRule>
    <cfRule type="cellIs" dxfId="82" priority="23" operator="equal">
      <formula>"Neutral"</formula>
    </cfRule>
    <cfRule type="cellIs" dxfId="81" priority="24" operator="equal">
      <formula>"Baggins"</formula>
    </cfRule>
    <cfRule type="cellIs" dxfId="80" priority="25" operator="equal">
      <formula>"Lore"</formula>
    </cfRule>
    <cfRule type="cellIs" dxfId="79" priority="26" operator="equal">
      <formula>"Spirit"</formula>
    </cfRule>
    <cfRule type="cellIs" dxfId="78" priority="27" operator="equal">
      <formula>"Tactics"</formula>
    </cfRule>
    <cfRule type="cellIs" dxfId="77" priority="28" operator="equal">
      <formula>"Leadership"</formula>
    </cfRule>
  </conditionalFormatting>
  <conditionalFormatting sqref="U2">
    <cfRule type="cellIs" dxfId="76" priority="15" operator="equal">
      <formula>"Fellowship"</formula>
    </cfRule>
    <cfRule type="cellIs" dxfId="75" priority="16" operator="equal">
      <formula>"Neutral"</formula>
    </cfRule>
    <cfRule type="cellIs" dxfId="74" priority="17" operator="equal">
      <formula>"Baggins"</formula>
    </cfRule>
    <cfRule type="cellIs" dxfId="73" priority="18" operator="equal">
      <formula>"Lore"</formula>
    </cfRule>
    <cfRule type="cellIs" dxfId="72" priority="19" operator="equal">
      <formula>"Spirit"</formula>
    </cfRule>
    <cfRule type="cellIs" dxfId="71" priority="20" operator="equal">
      <formula>"Tactics"</formula>
    </cfRule>
    <cfRule type="cellIs" dxfId="70" priority="21" operator="equal">
      <formula>"Leadership"</formula>
    </cfRule>
  </conditionalFormatting>
  <conditionalFormatting sqref="V2">
    <cfRule type="cellIs" dxfId="69" priority="8" operator="equal">
      <formula>"Fellowship"</formula>
    </cfRule>
    <cfRule type="cellIs" dxfId="68" priority="9" operator="equal">
      <formula>"Neutral"</formula>
    </cfRule>
    <cfRule type="cellIs" dxfId="67" priority="10" operator="equal">
      <formula>"Baggins"</formula>
    </cfRule>
    <cfRule type="cellIs" dxfId="66" priority="11" operator="equal">
      <formula>"Lore"</formula>
    </cfRule>
    <cfRule type="cellIs" dxfId="65" priority="12" operator="equal">
      <formula>"Spirit"</formula>
    </cfRule>
    <cfRule type="cellIs" dxfId="64" priority="13" operator="equal">
      <formula>"Tactics"</formula>
    </cfRule>
    <cfRule type="cellIs" dxfId="63" priority="14" operator="equal">
      <formula>"Leadership"</formula>
    </cfRule>
  </conditionalFormatting>
  <conditionalFormatting sqref="W2">
    <cfRule type="cellIs" dxfId="62" priority="1" operator="equal">
      <formula>"Fellowship"</formula>
    </cfRule>
    <cfRule type="cellIs" dxfId="61" priority="2" operator="equal">
      <formula>"Neutral"</formula>
    </cfRule>
    <cfRule type="cellIs" dxfId="60" priority="3" operator="equal">
      <formula>"Baggins"</formula>
    </cfRule>
    <cfRule type="cellIs" dxfId="59" priority="4" operator="equal">
      <formula>"Lore"</formula>
    </cfRule>
    <cfRule type="cellIs" dxfId="58" priority="5" operator="equal">
      <formula>"Spirit"</formula>
    </cfRule>
    <cfRule type="cellIs" dxfId="57" priority="6" operator="equal">
      <formula>"Tactics"</formula>
    </cfRule>
    <cfRule type="cellIs" dxfId="56" priority="7" operator="equal">
      <formula>"Leadership"</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BK1753"/>
  <sheetViews>
    <sheetView tabSelected="1" workbookViewId="0">
      <pane xSplit="7" ySplit="1" topLeftCell="M59" activePane="bottomRight" state="frozen"/>
      <selection pane="topRight" activeCell="F1" sqref="F1"/>
      <selection pane="bottomLeft" activeCell="A2" sqref="A2"/>
      <selection pane="bottomRight" activeCell="W87" sqref="W87"/>
    </sheetView>
  </sheetViews>
  <sheetFormatPr defaultRowHeight="12" outlineLevelCol="1"/>
  <cols>
    <col min="1" max="1" width="30.7109375" style="14" customWidth="1" outlineLevel="1"/>
    <col min="2" max="2" width="31.42578125" style="14" customWidth="1" outlineLevel="1"/>
    <col min="3" max="3" width="3.140625" style="14" bestFit="1" customWidth="1" outlineLevel="1"/>
    <col min="4" max="4" width="3.5703125" style="14" customWidth="1" outlineLevel="1"/>
    <col min="5" max="5" width="3.140625" style="14" customWidth="1" outlineLevel="1"/>
    <col min="6" max="6" width="33.5703125" style="14" customWidth="1" outlineLevel="1"/>
    <col min="7" max="7" width="32.28515625" style="14" customWidth="1"/>
    <col min="8" max="8" width="3.140625" style="14" bestFit="1" customWidth="1"/>
    <col min="9" max="9" width="8.7109375" style="14" bestFit="1" customWidth="1"/>
    <col min="10" max="10" width="8.5703125" style="14" bestFit="1" customWidth="1"/>
    <col min="11" max="11" width="26.5703125" style="15" customWidth="1"/>
    <col min="12" max="12" width="31" style="15" customWidth="1"/>
    <col min="13" max="13" width="3.140625" style="62" bestFit="1" customWidth="1"/>
    <col min="14" max="14" width="3.140625" style="25" bestFit="1" customWidth="1"/>
    <col min="15" max="15" width="3.140625" style="26" bestFit="1" customWidth="1"/>
    <col min="16" max="16" width="3.140625" style="27" bestFit="1" customWidth="1"/>
    <col min="17" max="17" width="3.140625" style="28" bestFit="1" customWidth="1"/>
    <col min="18" max="18" width="3.140625" style="29" bestFit="1" customWidth="1"/>
    <col min="19" max="19" width="3.140625" style="30" bestFit="1" customWidth="1"/>
    <col min="20" max="20" width="3.140625" style="31" bestFit="1" customWidth="1"/>
    <col min="21" max="21" width="3.140625" style="14" bestFit="1" customWidth="1"/>
    <col min="22" max="22" width="46" style="15" customWidth="1"/>
    <col min="23" max="23" width="45.28515625" style="15" customWidth="1"/>
    <col min="24" max="24" width="7" style="14" bestFit="1" customWidth="1"/>
    <col min="25" max="25" width="32" style="14" customWidth="1"/>
    <col min="26" max="26" width="3.140625" style="14" customWidth="1"/>
    <col min="27" max="27" width="8.7109375" style="14" bestFit="1" customWidth="1"/>
    <col min="28" max="28" width="8.5703125" style="14" hidden="1" customWidth="1" outlineLevel="1"/>
    <col min="29" max="29" width="24.42578125" style="14" hidden="1" customWidth="1" outlineLevel="1"/>
    <col min="30" max="30" width="28.85546875" style="14" hidden="1" customWidth="1" outlineLevel="1"/>
    <col min="31" max="31" width="3.140625" style="14" customWidth="1" collapsed="1"/>
    <col min="32" max="32" width="3.140625" style="25" customWidth="1"/>
    <col min="33" max="33" width="3.140625" style="26" hidden="1" customWidth="1" outlineLevel="1"/>
    <col min="34" max="34" width="3.140625" style="27" hidden="1" customWidth="1" outlineLevel="1"/>
    <col min="35" max="35" width="3.140625" style="28" hidden="1" customWidth="1" outlineLevel="1"/>
    <col min="36" max="36" width="3.140625" style="29" hidden="1" customWidth="1" outlineLevel="1"/>
    <col min="37" max="37" width="3.140625" style="30" hidden="1" customWidth="1" outlineLevel="1"/>
    <col min="38" max="38" width="3.140625" style="31" bestFit="1" customWidth="1" collapsed="1"/>
    <col min="39" max="39" width="3.140625" style="14" bestFit="1" customWidth="1"/>
    <col min="40" max="40" width="62" style="15" customWidth="1"/>
    <col min="41" max="41" width="45.28515625" style="15" customWidth="1" outlineLevel="1"/>
    <col min="42" max="42" width="7" style="14" customWidth="1" outlineLevel="1"/>
    <col min="43" max="16384" width="9.140625" style="14"/>
  </cols>
  <sheetData>
    <row r="1" spans="1:44" s="13" customFormat="1" ht="75">
      <c r="A1" s="11" t="s">
        <v>46</v>
      </c>
      <c r="B1" s="11" t="s">
        <v>116</v>
      </c>
      <c r="C1" s="17" t="s">
        <v>111</v>
      </c>
      <c r="D1" s="17" t="s">
        <v>55</v>
      </c>
      <c r="E1" s="17" t="s">
        <v>31</v>
      </c>
      <c r="F1" s="11" t="s">
        <v>30</v>
      </c>
      <c r="G1" s="11" t="s">
        <v>48</v>
      </c>
      <c r="H1" s="17" t="s">
        <v>18</v>
      </c>
      <c r="I1" s="11" t="s">
        <v>14</v>
      </c>
      <c r="J1" s="24" t="s">
        <v>15</v>
      </c>
      <c r="K1" s="12" t="s">
        <v>24</v>
      </c>
      <c r="L1" s="12" t="s">
        <v>27</v>
      </c>
      <c r="M1" s="61" t="s">
        <v>16</v>
      </c>
      <c r="N1" s="44" t="s">
        <v>17</v>
      </c>
      <c r="O1" s="44" t="s">
        <v>28</v>
      </c>
      <c r="P1" s="44" t="s">
        <v>22</v>
      </c>
      <c r="Q1" s="44" t="s">
        <v>20</v>
      </c>
      <c r="R1" s="44" t="s">
        <v>21</v>
      </c>
      <c r="S1" s="45" t="s">
        <v>23</v>
      </c>
      <c r="T1" s="46" t="s">
        <v>29</v>
      </c>
      <c r="U1" s="17" t="s">
        <v>32</v>
      </c>
      <c r="V1" s="12" t="s">
        <v>25</v>
      </c>
      <c r="W1" s="12" t="s">
        <v>26</v>
      </c>
      <c r="X1" s="11" t="s">
        <v>19</v>
      </c>
      <c r="Y1" s="36" t="s">
        <v>49</v>
      </c>
      <c r="Z1" s="37" t="s">
        <v>18</v>
      </c>
      <c r="AA1" s="36" t="s">
        <v>14</v>
      </c>
      <c r="AB1" s="38" t="s">
        <v>15</v>
      </c>
      <c r="AC1" s="39" t="s">
        <v>24</v>
      </c>
      <c r="AD1" s="39" t="s">
        <v>27</v>
      </c>
      <c r="AE1" s="37" t="s">
        <v>16</v>
      </c>
      <c r="AF1" s="40" t="s">
        <v>17</v>
      </c>
      <c r="AG1" s="40" t="s">
        <v>28</v>
      </c>
      <c r="AH1" s="40" t="s">
        <v>22</v>
      </c>
      <c r="AI1" s="40" t="s">
        <v>20</v>
      </c>
      <c r="AJ1" s="40" t="s">
        <v>21</v>
      </c>
      <c r="AK1" s="41" t="s">
        <v>23</v>
      </c>
      <c r="AL1" s="42" t="s">
        <v>29</v>
      </c>
      <c r="AM1" s="37" t="s">
        <v>32</v>
      </c>
      <c r="AN1" s="39" t="s">
        <v>25</v>
      </c>
      <c r="AO1" s="12" t="s">
        <v>26</v>
      </c>
      <c r="AP1" s="11" t="s">
        <v>19</v>
      </c>
    </row>
    <row r="2" spans="1:44" ht="15">
      <c r="A2" s="60"/>
      <c r="D2">
        <v>1</v>
      </c>
      <c r="E2">
        <v>1</v>
      </c>
      <c r="F2" t="s">
        <v>142</v>
      </c>
      <c r="G2" t="s">
        <v>143</v>
      </c>
      <c r="H2"/>
      <c r="I2" t="s">
        <v>44</v>
      </c>
      <c r="J2"/>
      <c r="K2"/>
      <c r="L2"/>
      <c r="M2">
        <v>1</v>
      </c>
      <c r="N2" t="s">
        <v>213</v>
      </c>
      <c r="O2"/>
      <c r="P2"/>
      <c r="Q2"/>
      <c r="R2"/>
      <c r="S2"/>
      <c r="T2"/>
      <c r="U2"/>
      <c r="V2" t="s">
        <v>205</v>
      </c>
      <c r="W2"/>
      <c r="X2"/>
      <c r="Y2" t="s">
        <v>143</v>
      </c>
      <c r="Z2"/>
      <c r="AA2" t="s">
        <v>44</v>
      </c>
      <c r="AB2"/>
      <c r="AC2"/>
      <c r="AD2"/>
      <c r="AE2">
        <v>1</v>
      </c>
      <c r="AF2" t="s">
        <v>45</v>
      </c>
      <c r="AG2"/>
      <c r="AH2"/>
      <c r="AI2"/>
      <c r="AJ2"/>
      <c r="AK2"/>
      <c r="AL2" t="s">
        <v>436</v>
      </c>
      <c r="AM2"/>
      <c r="AN2" t="s">
        <v>402</v>
      </c>
      <c r="AO2"/>
      <c r="AP2"/>
      <c r="AQ2"/>
      <c r="AR2"/>
    </row>
    <row r="3" spans="1:44" ht="15">
      <c r="A3" s="60"/>
      <c r="D3">
        <v>2</v>
      </c>
      <c r="E3">
        <v>1</v>
      </c>
      <c r="F3" t="s">
        <v>142</v>
      </c>
      <c r="G3" t="s">
        <v>144</v>
      </c>
      <c r="H3"/>
      <c r="I3" t="s">
        <v>44</v>
      </c>
      <c r="J3"/>
      <c r="K3"/>
      <c r="L3"/>
      <c r="M3">
        <v>2</v>
      </c>
      <c r="N3" t="s">
        <v>213</v>
      </c>
      <c r="O3"/>
      <c r="P3"/>
      <c r="Q3"/>
      <c r="R3"/>
      <c r="S3"/>
      <c r="T3"/>
      <c r="U3"/>
      <c r="V3" t="s">
        <v>206</v>
      </c>
      <c r="W3"/>
      <c r="X3"/>
      <c r="Y3" t="s">
        <v>144</v>
      </c>
      <c r="Z3"/>
      <c r="AA3" t="s">
        <v>44</v>
      </c>
      <c r="AB3"/>
      <c r="AC3"/>
      <c r="AD3"/>
      <c r="AE3">
        <v>2</v>
      </c>
      <c r="AF3" t="s">
        <v>45</v>
      </c>
      <c r="AG3"/>
      <c r="AH3"/>
      <c r="AI3"/>
      <c r="AJ3"/>
      <c r="AK3"/>
      <c r="AL3" t="s">
        <v>436</v>
      </c>
      <c r="AM3"/>
      <c r="AN3" t="s">
        <v>207</v>
      </c>
      <c r="AO3"/>
      <c r="AP3"/>
      <c r="AQ3"/>
      <c r="AR3"/>
    </row>
    <row r="4" spans="1:44" ht="15">
      <c r="A4" s="60"/>
      <c r="D4">
        <v>3</v>
      </c>
      <c r="E4">
        <v>1</v>
      </c>
      <c r="F4" t="s">
        <v>142</v>
      </c>
      <c r="G4" t="s">
        <v>145</v>
      </c>
      <c r="H4"/>
      <c r="I4" t="s">
        <v>44</v>
      </c>
      <c r="J4"/>
      <c r="K4"/>
      <c r="L4"/>
      <c r="M4">
        <v>3</v>
      </c>
      <c r="N4" t="s">
        <v>213</v>
      </c>
      <c r="O4"/>
      <c r="P4"/>
      <c r="Q4"/>
      <c r="R4"/>
      <c r="S4"/>
      <c r="T4"/>
      <c r="U4"/>
      <c r="V4" t="s">
        <v>389</v>
      </c>
      <c r="W4"/>
      <c r="X4"/>
      <c r="Y4" t="s">
        <v>145</v>
      </c>
      <c r="Z4"/>
      <c r="AA4" t="s">
        <v>44</v>
      </c>
      <c r="AB4"/>
      <c r="AC4"/>
      <c r="AD4"/>
      <c r="AE4">
        <v>3</v>
      </c>
      <c r="AF4" t="s">
        <v>45</v>
      </c>
      <c r="AG4"/>
      <c r="AH4"/>
      <c r="AI4"/>
      <c r="AJ4"/>
      <c r="AK4"/>
      <c r="AL4" t="s">
        <v>436</v>
      </c>
      <c r="AM4"/>
      <c r="AN4" t="s">
        <v>403</v>
      </c>
      <c r="AO4"/>
      <c r="AP4"/>
      <c r="AQ4"/>
      <c r="AR4"/>
    </row>
    <row r="5" spans="1:44" ht="15">
      <c r="A5" s="60"/>
      <c r="D5">
        <v>4</v>
      </c>
      <c r="E5">
        <v>1</v>
      </c>
      <c r="F5" t="s">
        <v>142</v>
      </c>
      <c r="G5" t="s">
        <v>146</v>
      </c>
      <c r="H5"/>
      <c r="I5" t="s">
        <v>44</v>
      </c>
      <c r="J5"/>
      <c r="K5"/>
      <c r="L5"/>
      <c r="M5">
        <v>3</v>
      </c>
      <c r="N5" t="s">
        <v>214</v>
      </c>
      <c r="O5"/>
      <c r="P5"/>
      <c r="Q5"/>
      <c r="R5"/>
      <c r="S5"/>
      <c r="T5"/>
      <c r="U5"/>
      <c r="V5" t="s">
        <v>390</v>
      </c>
      <c r="W5"/>
      <c r="X5"/>
      <c r="Y5" t="s">
        <v>146</v>
      </c>
      <c r="Z5"/>
      <c r="AA5" t="s">
        <v>44</v>
      </c>
      <c r="AB5"/>
      <c r="AC5"/>
      <c r="AD5"/>
      <c r="AE5">
        <v>3</v>
      </c>
      <c r="AF5" t="s">
        <v>434</v>
      </c>
      <c r="AG5"/>
      <c r="AH5"/>
      <c r="AI5"/>
      <c r="AJ5"/>
      <c r="AK5"/>
      <c r="AL5" t="s">
        <v>436</v>
      </c>
      <c r="AM5"/>
      <c r="AN5" t="s">
        <v>404</v>
      </c>
      <c r="AO5"/>
      <c r="AP5"/>
      <c r="AQ5"/>
      <c r="AR5"/>
    </row>
    <row r="6" spans="1:44" ht="15">
      <c r="A6" s="60"/>
      <c r="B6" s="43"/>
      <c r="D6">
        <v>5</v>
      </c>
      <c r="E6">
        <v>1</v>
      </c>
      <c r="F6" t="s">
        <v>142</v>
      </c>
      <c r="G6" t="s">
        <v>147</v>
      </c>
      <c r="H6"/>
      <c r="I6" t="s">
        <v>44</v>
      </c>
      <c r="J6"/>
      <c r="K6"/>
      <c r="L6"/>
      <c r="M6">
        <v>3</v>
      </c>
      <c r="N6" t="s">
        <v>215</v>
      </c>
      <c r="O6"/>
      <c r="P6"/>
      <c r="Q6"/>
      <c r="R6"/>
      <c r="S6"/>
      <c r="T6"/>
      <c r="U6"/>
      <c r="V6" t="s">
        <v>391</v>
      </c>
      <c r="W6"/>
      <c r="X6"/>
      <c r="Y6" t="s">
        <v>147</v>
      </c>
      <c r="Z6"/>
      <c r="AA6" t="s">
        <v>44</v>
      </c>
      <c r="AB6"/>
      <c r="AC6"/>
      <c r="AD6"/>
      <c r="AE6">
        <v>3</v>
      </c>
      <c r="AF6" t="s">
        <v>435</v>
      </c>
      <c r="AG6"/>
      <c r="AH6"/>
      <c r="AI6"/>
      <c r="AJ6"/>
      <c r="AK6"/>
      <c r="AL6" t="s">
        <v>436</v>
      </c>
      <c r="AM6"/>
      <c r="AN6" t="s">
        <v>405</v>
      </c>
      <c r="AO6"/>
      <c r="AP6"/>
      <c r="AQ6"/>
      <c r="AR6"/>
    </row>
    <row r="7" spans="1:44" ht="15">
      <c r="A7" s="60"/>
      <c r="D7">
        <v>6</v>
      </c>
      <c r="E7">
        <v>1</v>
      </c>
      <c r="F7" t="s">
        <v>142</v>
      </c>
      <c r="G7" t="s">
        <v>148</v>
      </c>
      <c r="H7"/>
      <c r="I7" t="s">
        <v>44</v>
      </c>
      <c r="J7"/>
      <c r="K7"/>
      <c r="L7"/>
      <c r="M7">
        <v>3</v>
      </c>
      <c r="N7" t="s">
        <v>217</v>
      </c>
      <c r="O7"/>
      <c r="P7"/>
      <c r="Q7"/>
      <c r="R7"/>
      <c r="S7"/>
      <c r="T7"/>
      <c r="U7"/>
      <c r="V7" t="s">
        <v>392</v>
      </c>
      <c r="W7"/>
      <c r="X7"/>
      <c r="Y7" t="s">
        <v>148</v>
      </c>
      <c r="Z7"/>
      <c r="AA7" t="s">
        <v>44</v>
      </c>
      <c r="AB7"/>
      <c r="AC7"/>
      <c r="AD7"/>
      <c r="AE7">
        <v>3</v>
      </c>
      <c r="AF7" t="s">
        <v>216</v>
      </c>
      <c r="AG7"/>
      <c r="AH7"/>
      <c r="AI7"/>
      <c r="AJ7"/>
      <c r="AK7"/>
      <c r="AL7" t="s">
        <v>436</v>
      </c>
      <c r="AM7"/>
      <c r="AN7" t="s">
        <v>406</v>
      </c>
      <c r="AO7"/>
      <c r="AP7"/>
      <c r="AQ7"/>
      <c r="AR7"/>
    </row>
    <row r="8" spans="1:44" ht="15">
      <c r="A8" s="60"/>
      <c r="D8">
        <v>7</v>
      </c>
      <c r="E8">
        <v>1</v>
      </c>
      <c r="F8" t="s">
        <v>142</v>
      </c>
      <c r="G8" t="s">
        <v>149</v>
      </c>
      <c r="H8" t="s">
        <v>35</v>
      </c>
      <c r="I8" t="s">
        <v>150</v>
      </c>
      <c r="J8"/>
      <c r="K8" t="s">
        <v>151</v>
      </c>
      <c r="L8"/>
      <c r="M8"/>
      <c r="N8"/>
      <c r="O8"/>
      <c r="P8"/>
      <c r="Q8"/>
      <c r="R8"/>
      <c r="S8"/>
      <c r="T8"/>
      <c r="U8"/>
      <c r="V8" t="s">
        <v>393</v>
      </c>
      <c r="W8"/>
      <c r="X8"/>
      <c r="Y8"/>
      <c r="Z8"/>
      <c r="AA8"/>
      <c r="AB8"/>
      <c r="AC8"/>
      <c r="AD8"/>
      <c r="AE8"/>
      <c r="AF8"/>
      <c r="AG8"/>
      <c r="AH8"/>
      <c r="AI8"/>
      <c r="AJ8"/>
      <c r="AK8"/>
      <c r="AL8"/>
      <c r="AM8"/>
      <c r="AN8"/>
      <c r="AO8"/>
      <c r="AP8"/>
      <c r="AQ8"/>
      <c r="AR8"/>
    </row>
    <row r="9" spans="1:44" ht="15">
      <c r="A9" s="60"/>
      <c r="D9">
        <v>8</v>
      </c>
      <c r="E9">
        <v>1</v>
      </c>
      <c r="F9" t="s">
        <v>142</v>
      </c>
      <c r="G9" t="s">
        <v>203</v>
      </c>
      <c r="H9"/>
      <c r="I9" t="s">
        <v>150</v>
      </c>
      <c r="J9"/>
      <c r="K9" t="s">
        <v>202</v>
      </c>
      <c r="L9"/>
      <c r="M9"/>
      <c r="N9"/>
      <c r="O9"/>
      <c r="P9"/>
      <c r="Q9"/>
      <c r="R9"/>
      <c r="S9"/>
      <c r="T9"/>
      <c r="U9"/>
      <c r="V9" t="s">
        <v>210</v>
      </c>
      <c r="W9"/>
      <c r="X9"/>
      <c r="Y9"/>
      <c r="Z9"/>
      <c r="AA9"/>
      <c r="AB9"/>
      <c r="AC9"/>
      <c r="AD9"/>
      <c r="AE9"/>
      <c r="AF9"/>
      <c r="AG9"/>
      <c r="AH9"/>
      <c r="AI9"/>
      <c r="AJ9"/>
      <c r="AK9"/>
      <c r="AL9"/>
      <c r="AM9"/>
      <c r="AN9"/>
      <c r="AO9"/>
      <c r="AP9"/>
      <c r="AQ9"/>
      <c r="AR9"/>
    </row>
    <row r="10" spans="1:44" ht="15">
      <c r="A10" s="60"/>
      <c r="D10">
        <v>9</v>
      </c>
      <c r="E10">
        <v>1</v>
      </c>
      <c r="F10" t="s">
        <v>142</v>
      </c>
      <c r="G10" t="s">
        <v>204</v>
      </c>
      <c r="H10"/>
      <c r="I10" t="s">
        <v>201</v>
      </c>
      <c r="J10"/>
      <c r="K10" t="s">
        <v>152</v>
      </c>
      <c r="L10" t="s">
        <v>153</v>
      </c>
      <c r="M10"/>
      <c r="N10"/>
      <c r="O10"/>
      <c r="P10">
        <v>3</v>
      </c>
      <c r="Q10">
        <v>3</v>
      </c>
      <c r="R10">
        <v>3</v>
      </c>
      <c r="S10">
        <v>6</v>
      </c>
      <c r="T10"/>
      <c r="U10"/>
      <c r="V10" t="s">
        <v>208</v>
      </c>
      <c r="W10"/>
      <c r="X10"/>
      <c r="Y10"/>
      <c r="Z10"/>
      <c r="AA10"/>
      <c r="AB10"/>
      <c r="AC10"/>
      <c r="AD10"/>
      <c r="AE10"/>
      <c r="AF10"/>
      <c r="AG10"/>
      <c r="AH10"/>
      <c r="AI10"/>
      <c r="AJ10"/>
      <c r="AK10"/>
      <c r="AL10"/>
      <c r="AM10"/>
      <c r="AN10"/>
      <c r="AO10"/>
      <c r="AP10"/>
      <c r="AQ10"/>
      <c r="AR10"/>
    </row>
    <row r="11" spans="1:44" ht="15">
      <c r="A11" s="60"/>
      <c r="D11">
        <v>10</v>
      </c>
      <c r="E11">
        <v>1</v>
      </c>
      <c r="F11" t="s">
        <v>142</v>
      </c>
      <c r="G11" t="s">
        <v>154</v>
      </c>
      <c r="H11" t="s">
        <v>35</v>
      </c>
      <c r="I11" t="s">
        <v>42</v>
      </c>
      <c r="J11"/>
      <c r="K11" t="s">
        <v>155</v>
      </c>
      <c r="L11" t="s">
        <v>156</v>
      </c>
      <c r="M11"/>
      <c r="N11">
        <v>45</v>
      </c>
      <c r="O11">
        <v>3</v>
      </c>
      <c r="P11"/>
      <c r="Q11">
        <v>5</v>
      </c>
      <c r="R11">
        <v>3</v>
      </c>
      <c r="S11">
        <v>9</v>
      </c>
      <c r="T11"/>
      <c r="U11">
        <v>5</v>
      </c>
      <c r="V11" t="s">
        <v>407</v>
      </c>
      <c r="W11"/>
      <c r="X11"/>
      <c r="Y11"/>
      <c r="Z11"/>
      <c r="AA11"/>
      <c r="AB11"/>
      <c r="AC11"/>
      <c r="AD11"/>
      <c r="AE11"/>
      <c r="AF11"/>
      <c r="AG11"/>
      <c r="AH11"/>
      <c r="AI11"/>
      <c r="AJ11"/>
      <c r="AK11"/>
      <c r="AL11"/>
      <c r="AM11"/>
      <c r="AN11"/>
      <c r="AO11"/>
      <c r="AP11"/>
      <c r="AQ11"/>
      <c r="AR11"/>
    </row>
    <row r="12" spans="1:44" ht="15">
      <c r="D12">
        <v>11</v>
      </c>
      <c r="E12">
        <v>1</v>
      </c>
      <c r="F12" t="s">
        <v>142</v>
      </c>
      <c r="G12" t="s">
        <v>157</v>
      </c>
      <c r="H12" t="s">
        <v>35</v>
      </c>
      <c r="I12" t="s">
        <v>42</v>
      </c>
      <c r="J12"/>
      <c r="K12" t="s">
        <v>158</v>
      </c>
      <c r="L12" t="s">
        <v>156</v>
      </c>
      <c r="M12"/>
      <c r="N12">
        <v>45</v>
      </c>
      <c r="O12">
        <v>3</v>
      </c>
      <c r="P12"/>
      <c r="Q12">
        <v>6</v>
      </c>
      <c r="R12">
        <v>2</v>
      </c>
      <c r="S12">
        <v>9</v>
      </c>
      <c r="T12"/>
      <c r="U12">
        <v>5</v>
      </c>
      <c r="V12" t="s">
        <v>408</v>
      </c>
      <c r="W12"/>
      <c r="X12"/>
      <c r="Y12"/>
      <c r="Z12"/>
      <c r="AA12"/>
      <c r="AB12"/>
      <c r="AC12"/>
      <c r="AD12"/>
      <c r="AE12"/>
      <c r="AF12"/>
      <c r="AG12"/>
      <c r="AH12"/>
      <c r="AI12"/>
      <c r="AJ12"/>
      <c r="AK12"/>
      <c r="AL12"/>
      <c r="AM12"/>
      <c r="AN12"/>
      <c r="AO12"/>
      <c r="AP12"/>
      <c r="AQ12"/>
      <c r="AR12"/>
    </row>
    <row r="13" spans="1:44" ht="15">
      <c r="D13">
        <v>12</v>
      </c>
      <c r="E13">
        <v>1</v>
      </c>
      <c r="F13" t="s">
        <v>142</v>
      </c>
      <c r="G13" t="s">
        <v>159</v>
      </c>
      <c r="H13" t="s">
        <v>35</v>
      </c>
      <c r="I13" t="s">
        <v>42</v>
      </c>
      <c r="J13"/>
      <c r="K13" t="s">
        <v>160</v>
      </c>
      <c r="L13" t="s">
        <v>156</v>
      </c>
      <c r="M13"/>
      <c r="N13">
        <v>45</v>
      </c>
      <c r="O13">
        <v>3</v>
      </c>
      <c r="P13"/>
      <c r="Q13">
        <v>3</v>
      </c>
      <c r="R13">
        <v>4</v>
      </c>
      <c r="S13">
        <v>8</v>
      </c>
      <c r="T13"/>
      <c r="U13">
        <v>5</v>
      </c>
      <c r="V13" t="s">
        <v>409</v>
      </c>
      <c r="W13"/>
      <c r="X13"/>
      <c r="Y13"/>
      <c r="Z13"/>
      <c r="AA13"/>
      <c r="AB13"/>
      <c r="AC13"/>
      <c r="AD13"/>
      <c r="AE13"/>
      <c r="AF13"/>
      <c r="AG13"/>
      <c r="AH13"/>
      <c r="AI13"/>
      <c r="AJ13"/>
      <c r="AK13"/>
      <c r="AL13"/>
      <c r="AM13"/>
      <c r="AN13"/>
      <c r="AO13"/>
      <c r="AP13"/>
      <c r="AQ13"/>
      <c r="AR13"/>
    </row>
    <row r="14" spans="1:44" ht="15">
      <c r="D14">
        <v>13</v>
      </c>
      <c r="E14">
        <v>1</v>
      </c>
      <c r="F14" t="s">
        <v>142</v>
      </c>
      <c r="G14" t="s">
        <v>161</v>
      </c>
      <c r="H14" t="s">
        <v>35</v>
      </c>
      <c r="I14" t="s">
        <v>42</v>
      </c>
      <c r="J14"/>
      <c r="K14" t="s">
        <v>162</v>
      </c>
      <c r="L14" t="s">
        <v>156</v>
      </c>
      <c r="M14"/>
      <c r="N14">
        <v>45</v>
      </c>
      <c r="O14">
        <v>3</v>
      </c>
      <c r="P14"/>
      <c r="Q14">
        <v>4</v>
      </c>
      <c r="R14">
        <v>3</v>
      </c>
      <c r="S14">
        <v>8</v>
      </c>
      <c r="T14"/>
      <c r="U14">
        <v>5</v>
      </c>
      <c r="V14" t="s">
        <v>163</v>
      </c>
      <c r="W14"/>
      <c r="X14"/>
      <c r="Y14"/>
      <c r="Z14"/>
      <c r="AA14"/>
      <c r="AB14"/>
      <c r="AC14"/>
      <c r="AD14"/>
      <c r="AE14"/>
      <c r="AF14"/>
      <c r="AG14"/>
      <c r="AH14"/>
      <c r="AI14"/>
      <c r="AJ14"/>
      <c r="AK14"/>
      <c r="AL14"/>
      <c r="AM14"/>
      <c r="AN14"/>
      <c r="AO14"/>
      <c r="AP14"/>
      <c r="AQ14"/>
      <c r="AR14"/>
    </row>
    <row r="15" spans="1:44" ht="15">
      <c r="D15">
        <v>14</v>
      </c>
      <c r="E15">
        <v>2</v>
      </c>
      <c r="F15" t="s">
        <v>142</v>
      </c>
      <c r="G15" t="s">
        <v>164</v>
      </c>
      <c r="H15"/>
      <c r="I15" t="s">
        <v>42</v>
      </c>
      <c r="J15"/>
      <c r="K15" t="s">
        <v>165</v>
      </c>
      <c r="L15" t="s">
        <v>166</v>
      </c>
      <c r="M15"/>
      <c r="N15">
        <v>40</v>
      </c>
      <c r="O15" t="s">
        <v>167</v>
      </c>
      <c r="P15"/>
      <c r="Q15">
        <v>8</v>
      </c>
      <c r="R15">
        <v>4</v>
      </c>
      <c r="S15">
        <v>12</v>
      </c>
      <c r="T15"/>
      <c r="U15"/>
      <c r="V15" t="s">
        <v>410</v>
      </c>
      <c r="W15"/>
      <c r="X15"/>
      <c r="Y15"/>
      <c r="Z15"/>
      <c r="AA15"/>
      <c r="AB15"/>
      <c r="AC15"/>
      <c r="AD15"/>
      <c r="AE15"/>
      <c r="AF15"/>
      <c r="AG15"/>
      <c r="AH15"/>
      <c r="AI15"/>
      <c r="AJ15"/>
      <c r="AK15"/>
      <c r="AL15"/>
      <c r="AM15"/>
      <c r="AN15"/>
      <c r="AO15"/>
      <c r="AP15"/>
      <c r="AQ15"/>
      <c r="AR15"/>
    </row>
    <row r="16" spans="1:44" ht="15">
      <c r="D16">
        <v>15</v>
      </c>
      <c r="E16">
        <v>2</v>
      </c>
      <c r="F16" t="s">
        <v>142</v>
      </c>
      <c r="G16" t="s">
        <v>168</v>
      </c>
      <c r="H16"/>
      <c r="I16" t="s">
        <v>42</v>
      </c>
      <c r="J16"/>
      <c r="K16" t="s">
        <v>169</v>
      </c>
      <c r="L16"/>
      <c r="M16"/>
      <c r="N16">
        <v>34</v>
      </c>
      <c r="O16">
        <v>4</v>
      </c>
      <c r="P16"/>
      <c r="Q16">
        <v>6</v>
      </c>
      <c r="R16">
        <v>4</v>
      </c>
      <c r="S16">
        <v>9</v>
      </c>
      <c r="T16"/>
      <c r="U16"/>
      <c r="V16" t="s">
        <v>170</v>
      </c>
      <c r="W16" t="s">
        <v>459</v>
      </c>
      <c r="X16"/>
      <c r="Y16"/>
      <c r="Z16"/>
      <c r="AA16"/>
      <c r="AB16"/>
      <c r="AC16"/>
      <c r="AD16"/>
      <c r="AE16"/>
      <c r="AF16"/>
      <c r="AG16"/>
      <c r="AH16"/>
      <c r="AI16"/>
      <c r="AJ16"/>
      <c r="AK16"/>
      <c r="AL16"/>
      <c r="AM16"/>
      <c r="AN16"/>
      <c r="AO16"/>
      <c r="AP16"/>
      <c r="AQ16"/>
      <c r="AR16"/>
    </row>
    <row r="17" spans="4:44" ht="15">
      <c r="D17">
        <v>16</v>
      </c>
      <c r="E17">
        <v>2</v>
      </c>
      <c r="F17" t="s">
        <v>142</v>
      </c>
      <c r="G17" t="s">
        <v>171</v>
      </c>
      <c r="H17"/>
      <c r="I17" t="s">
        <v>42</v>
      </c>
      <c r="J17"/>
      <c r="K17" t="s">
        <v>172</v>
      </c>
      <c r="L17"/>
      <c r="M17"/>
      <c r="N17">
        <v>31</v>
      </c>
      <c r="O17">
        <v>3</v>
      </c>
      <c r="P17"/>
      <c r="Q17">
        <v>5</v>
      </c>
      <c r="R17">
        <v>3</v>
      </c>
      <c r="S17">
        <v>5</v>
      </c>
      <c r="T17"/>
      <c r="U17"/>
      <c r="V17" t="s">
        <v>411</v>
      </c>
      <c r="W17"/>
      <c r="X17"/>
      <c r="Y17"/>
      <c r="Z17"/>
      <c r="AA17"/>
      <c r="AB17"/>
      <c r="AC17"/>
      <c r="AD17"/>
      <c r="AE17"/>
      <c r="AF17"/>
      <c r="AG17"/>
      <c r="AH17"/>
      <c r="AI17"/>
      <c r="AJ17"/>
      <c r="AK17"/>
      <c r="AL17"/>
      <c r="AM17"/>
      <c r="AN17"/>
      <c r="AO17"/>
      <c r="AP17"/>
      <c r="AQ17"/>
      <c r="AR17"/>
    </row>
    <row r="18" spans="4:44" ht="15">
      <c r="D18">
        <v>17</v>
      </c>
      <c r="E18">
        <v>3</v>
      </c>
      <c r="F18" t="s">
        <v>142</v>
      </c>
      <c r="G18" t="s">
        <v>173</v>
      </c>
      <c r="H18"/>
      <c r="I18" t="s">
        <v>42</v>
      </c>
      <c r="J18"/>
      <c r="K18" t="s">
        <v>165</v>
      </c>
      <c r="L18" t="s">
        <v>174</v>
      </c>
      <c r="M18"/>
      <c r="N18">
        <v>36</v>
      </c>
      <c r="O18">
        <v>2</v>
      </c>
      <c r="P18"/>
      <c r="Q18">
        <v>4</v>
      </c>
      <c r="R18">
        <v>1</v>
      </c>
      <c r="S18">
        <v>4</v>
      </c>
      <c r="T18"/>
      <c r="U18"/>
      <c r="V18" t="s">
        <v>175</v>
      </c>
      <c r="W18" t="s">
        <v>460</v>
      </c>
      <c r="X18"/>
      <c r="Y18"/>
      <c r="Z18"/>
      <c r="AA18"/>
      <c r="AB18"/>
      <c r="AC18"/>
      <c r="AD18"/>
      <c r="AE18"/>
      <c r="AF18"/>
      <c r="AG18"/>
      <c r="AH18"/>
      <c r="AI18"/>
      <c r="AJ18"/>
      <c r="AK18"/>
      <c r="AL18"/>
      <c r="AM18"/>
      <c r="AN18"/>
      <c r="AO18"/>
      <c r="AP18"/>
      <c r="AQ18"/>
      <c r="AR18"/>
    </row>
    <row r="19" spans="4:44" ht="15">
      <c r="D19">
        <v>18</v>
      </c>
      <c r="E19">
        <v>4</v>
      </c>
      <c r="F19" t="s">
        <v>142</v>
      </c>
      <c r="G19" t="s">
        <v>176</v>
      </c>
      <c r="H19"/>
      <c r="I19" t="s">
        <v>42</v>
      </c>
      <c r="J19"/>
      <c r="K19" t="s">
        <v>165</v>
      </c>
      <c r="L19"/>
      <c r="M19"/>
      <c r="N19">
        <v>24</v>
      </c>
      <c r="O19">
        <v>2</v>
      </c>
      <c r="P19"/>
      <c r="Q19">
        <v>3</v>
      </c>
      <c r="R19">
        <v>1</v>
      </c>
      <c r="S19">
        <v>3</v>
      </c>
      <c r="T19"/>
      <c r="U19"/>
      <c r="V19" t="s">
        <v>412</v>
      </c>
      <c r="W19"/>
      <c r="X19"/>
      <c r="Y19"/>
      <c r="Z19"/>
      <c r="AA19"/>
      <c r="AB19"/>
      <c r="AC19"/>
      <c r="AD19"/>
      <c r="AE19"/>
      <c r="AF19"/>
      <c r="AG19"/>
      <c r="AH19"/>
      <c r="AI19"/>
      <c r="AJ19"/>
      <c r="AK19"/>
      <c r="AL19"/>
      <c r="AM19"/>
      <c r="AN19"/>
      <c r="AO19"/>
      <c r="AP19"/>
      <c r="AQ19"/>
      <c r="AR19"/>
    </row>
    <row r="20" spans="4:44" ht="15">
      <c r="D20">
        <v>19</v>
      </c>
      <c r="E20">
        <v>3</v>
      </c>
      <c r="F20" t="s">
        <v>142</v>
      </c>
      <c r="G20" t="s">
        <v>177</v>
      </c>
      <c r="H20"/>
      <c r="I20" t="s">
        <v>42</v>
      </c>
      <c r="J20"/>
      <c r="K20" t="s">
        <v>178</v>
      </c>
      <c r="L20" t="s">
        <v>179</v>
      </c>
      <c r="M20"/>
      <c r="N20">
        <v>18</v>
      </c>
      <c r="O20">
        <v>1</v>
      </c>
      <c r="P20"/>
      <c r="Q20">
        <v>3</v>
      </c>
      <c r="R20">
        <v>2</v>
      </c>
      <c r="S20">
        <v>2</v>
      </c>
      <c r="T20"/>
      <c r="U20"/>
      <c r="V20" t="s">
        <v>180</v>
      </c>
      <c r="W20"/>
      <c r="X20"/>
      <c r="Y20"/>
      <c r="Z20"/>
      <c r="AA20"/>
      <c r="AB20"/>
      <c r="AC20"/>
      <c r="AD20"/>
      <c r="AE20"/>
      <c r="AF20"/>
      <c r="AG20"/>
      <c r="AH20"/>
      <c r="AI20"/>
      <c r="AJ20"/>
      <c r="AK20"/>
      <c r="AL20"/>
      <c r="AM20"/>
      <c r="AN20"/>
      <c r="AO20"/>
      <c r="AP20"/>
      <c r="AQ20"/>
      <c r="AR20"/>
    </row>
    <row r="21" spans="4:44" ht="15">
      <c r="D21">
        <v>20</v>
      </c>
      <c r="E21">
        <v>2</v>
      </c>
      <c r="F21" t="s">
        <v>142</v>
      </c>
      <c r="G21" t="s">
        <v>181</v>
      </c>
      <c r="H21"/>
      <c r="I21" t="s">
        <v>43</v>
      </c>
      <c r="J21"/>
      <c r="K21" t="s">
        <v>182</v>
      </c>
      <c r="L21"/>
      <c r="M21"/>
      <c r="N21"/>
      <c r="O21">
        <v>2</v>
      </c>
      <c r="P21"/>
      <c r="Q21"/>
      <c r="R21"/>
      <c r="S21"/>
      <c r="T21">
        <v>4</v>
      </c>
      <c r="U21"/>
      <c r="V21" t="s">
        <v>394</v>
      </c>
      <c r="W21"/>
      <c r="X21"/>
      <c r="Y21"/>
      <c r="Z21"/>
      <c r="AA21"/>
      <c r="AB21"/>
      <c r="AC21"/>
      <c r="AD21"/>
      <c r="AE21"/>
      <c r="AF21"/>
      <c r="AG21"/>
      <c r="AH21"/>
      <c r="AI21"/>
      <c r="AJ21"/>
      <c r="AK21"/>
      <c r="AL21"/>
      <c r="AM21"/>
      <c r="AN21"/>
      <c r="AO21"/>
      <c r="AP21"/>
      <c r="AQ21"/>
      <c r="AR21"/>
    </row>
    <row r="22" spans="4:44" ht="15">
      <c r="D22">
        <v>21</v>
      </c>
      <c r="E22">
        <v>2</v>
      </c>
      <c r="F22" t="s">
        <v>142</v>
      </c>
      <c r="G22" t="s">
        <v>183</v>
      </c>
      <c r="H22"/>
      <c r="I22" t="s">
        <v>43</v>
      </c>
      <c r="J22"/>
      <c r="K22" t="s">
        <v>182</v>
      </c>
      <c r="L22"/>
      <c r="M22"/>
      <c r="N22"/>
      <c r="O22">
        <v>2</v>
      </c>
      <c r="P22"/>
      <c r="Q22"/>
      <c r="R22"/>
      <c r="S22"/>
      <c r="T22">
        <v>4</v>
      </c>
      <c r="U22"/>
      <c r="V22" t="s">
        <v>452</v>
      </c>
      <c r="W22"/>
      <c r="X22"/>
      <c r="Y22"/>
      <c r="Z22"/>
      <c r="AA22"/>
      <c r="AB22"/>
      <c r="AC22"/>
      <c r="AD22"/>
      <c r="AE22"/>
      <c r="AF22"/>
      <c r="AG22"/>
      <c r="AH22"/>
      <c r="AI22"/>
      <c r="AJ22"/>
      <c r="AK22"/>
      <c r="AL22"/>
      <c r="AM22"/>
      <c r="AN22"/>
      <c r="AO22"/>
      <c r="AP22"/>
      <c r="AQ22"/>
      <c r="AR22"/>
    </row>
    <row r="23" spans="4:44" ht="15">
      <c r="D23">
        <v>22</v>
      </c>
      <c r="E23">
        <v>2</v>
      </c>
      <c r="F23" t="s">
        <v>142</v>
      </c>
      <c r="G23" t="s">
        <v>184</v>
      </c>
      <c r="H23"/>
      <c r="I23" t="s">
        <v>43</v>
      </c>
      <c r="J23"/>
      <c r="K23" t="s">
        <v>182</v>
      </c>
      <c r="L23"/>
      <c r="M23"/>
      <c r="N23"/>
      <c r="O23">
        <v>2</v>
      </c>
      <c r="P23"/>
      <c r="Q23"/>
      <c r="R23"/>
      <c r="S23"/>
      <c r="T23">
        <v>4</v>
      </c>
      <c r="U23"/>
      <c r="V23" t="s">
        <v>211</v>
      </c>
      <c r="W23"/>
      <c r="X23"/>
      <c r="Y23"/>
      <c r="Z23"/>
      <c r="AA23"/>
      <c r="AB23"/>
      <c r="AC23"/>
      <c r="AD23"/>
      <c r="AE23"/>
      <c r="AF23"/>
      <c r="AG23"/>
      <c r="AH23"/>
      <c r="AI23"/>
      <c r="AJ23"/>
      <c r="AK23"/>
      <c r="AL23"/>
      <c r="AM23"/>
      <c r="AN23"/>
      <c r="AO23"/>
      <c r="AP23"/>
      <c r="AQ23"/>
      <c r="AR23"/>
    </row>
    <row r="24" spans="4:44" ht="15">
      <c r="D24">
        <v>23</v>
      </c>
      <c r="E24">
        <v>2</v>
      </c>
      <c r="F24" t="s">
        <v>142</v>
      </c>
      <c r="G24" t="s">
        <v>185</v>
      </c>
      <c r="H24"/>
      <c r="I24" t="s">
        <v>43</v>
      </c>
      <c r="J24"/>
      <c r="K24" t="s">
        <v>182</v>
      </c>
      <c r="L24"/>
      <c r="M24"/>
      <c r="N24"/>
      <c r="O24">
        <v>2</v>
      </c>
      <c r="P24"/>
      <c r="Q24"/>
      <c r="R24"/>
      <c r="S24"/>
      <c r="T24">
        <v>4</v>
      </c>
      <c r="U24"/>
      <c r="V24" t="s">
        <v>212</v>
      </c>
      <c r="W24"/>
      <c r="X24"/>
      <c r="Y24"/>
      <c r="Z24"/>
      <c r="AA24"/>
      <c r="AB24"/>
      <c r="AC24"/>
      <c r="AD24"/>
      <c r="AE24"/>
      <c r="AF24"/>
      <c r="AG24"/>
      <c r="AH24"/>
      <c r="AI24"/>
      <c r="AJ24"/>
      <c r="AK24"/>
      <c r="AL24"/>
      <c r="AM24"/>
      <c r="AN24"/>
      <c r="AO24"/>
      <c r="AP24"/>
      <c r="AQ24"/>
      <c r="AR24"/>
    </row>
    <row r="25" spans="4:44" ht="15">
      <c r="D25">
        <v>24</v>
      </c>
      <c r="E25">
        <v>2</v>
      </c>
      <c r="F25" t="s">
        <v>142</v>
      </c>
      <c r="G25" t="s">
        <v>186</v>
      </c>
      <c r="H25"/>
      <c r="I25" t="s">
        <v>43</v>
      </c>
      <c r="J25"/>
      <c r="K25" t="s">
        <v>104</v>
      </c>
      <c r="L25"/>
      <c r="M25"/>
      <c r="N25"/>
      <c r="O25">
        <v>1</v>
      </c>
      <c r="P25"/>
      <c r="Q25"/>
      <c r="R25"/>
      <c r="S25"/>
      <c r="T25">
        <v>5</v>
      </c>
      <c r="U25"/>
      <c r="V25" t="s">
        <v>413</v>
      </c>
      <c r="W25"/>
      <c r="X25"/>
      <c r="Y25"/>
      <c r="Z25"/>
      <c r="AA25"/>
      <c r="AB25"/>
      <c r="AC25"/>
      <c r="AD25"/>
      <c r="AE25"/>
      <c r="AF25"/>
      <c r="AG25"/>
      <c r="AH25"/>
      <c r="AI25"/>
      <c r="AJ25"/>
      <c r="AK25"/>
      <c r="AL25"/>
      <c r="AM25"/>
      <c r="AN25"/>
      <c r="AO25"/>
      <c r="AP25"/>
      <c r="AQ25"/>
      <c r="AR25"/>
    </row>
    <row r="26" spans="4:44" ht="15">
      <c r="D26">
        <v>25</v>
      </c>
      <c r="E26">
        <v>3</v>
      </c>
      <c r="F26" t="s">
        <v>142</v>
      </c>
      <c r="G26" t="s">
        <v>187</v>
      </c>
      <c r="H26"/>
      <c r="I26" t="s">
        <v>43</v>
      </c>
      <c r="J26"/>
      <c r="K26" t="s">
        <v>104</v>
      </c>
      <c r="L26"/>
      <c r="M26"/>
      <c r="N26"/>
      <c r="O26">
        <v>3</v>
      </c>
      <c r="P26"/>
      <c r="Q26"/>
      <c r="R26"/>
      <c r="S26"/>
      <c r="T26">
        <v>3</v>
      </c>
      <c r="U26"/>
      <c r="V26" t="s">
        <v>395</v>
      </c>
      <c r="W26" t="s">
        <v>461</v>
      </c>
      <c r="X26"/>
      <c r="Y26"/>
      <c r="Z26"/>
      <c r="AA26"/>
      <c r="AB26"/>
      <c r="AC26"/>
      <c r="AD26"/>
      <c r="AE26"/>
      <c r="AF26"/>
      <c r="AG26"/>
      <c r="AH26"/>
      <c r="AI26"/>
      <c r="AJ26"/>
      <c r="AK26"/>
      <c r="AL26"/>
      <c r="AM26"/>
      <c r="AN26"/>
      <c r="AO26"/>
      <c r="AP26"/>
      <c r="AQ26"/>
      <c r="AR26"/>
    </row>
    <row r="27" spans="4:44" ht="15">
      <c r="D27">
        <v>26</v>
      </c>
      <c r="E27">
        <v>3</v>
      </c>
      <c r="F27" t="s">
        <v>142</v>
      </c>
      <c r="G27" t="s">
        <v>188</v>
      </c>
      <c r="H27"/>
      <c r="I27" t="s">
        <v>129</v>
      </c>
      <c r="J27"/>
      <c r="K27"/>
      <c r="L27" t="s">
        <v>179</v>
      </c>
      <c r="M27"/>
      <c r="N27"/>
      <c r="O27"/>
      <c r="P27"/>
      <c r="Q27"/>
      <c r="R27"/>
      <c r="S27"/>
      <c r="T27"/>
      <c r="U27"/>
      <c r="V27" t="s">
        <v>189</v>
      </c>
      <c r="W27" t="s">
        <v>462</v>
      </c>
      <c r="X27"/>
      <c r="Y27"/>
      <c r="Z27"/>
      <c r="AA27"/>
      <c r="AB27"/>
      <c r="AC27"/>
      <c r="AD27"/>
      <c r="AE27"/>
      <c r="AF27"/>
      <c r="AG27"/>
      <c r="AH27"/>
      <c r="AI27"/>
      <c r="AJ27"/>
      <c r="AK27"/>
      <c r="AL27"/>
      <c r="AM27"/>
      <c r="AN27"/>
      <c r="AO27"/>
      <c r="AP27"/>
      <c r="AQ27"/>
      <c r="AR27"/>
    </row>
    <row r="28" spans="4:44" ht="15">
      <c r="D28">
        <v>27</v>
      </c>
      <c r="E28">
        <v>2</v>
      </c>
      <c r="F28" t="s">
        <v>142</v>
      </c>
      <c r="G28" t="s">
        <v>190</v>
      </c>
      <c r="H28"/>
      <c r="I28" t="s">
        <v>129</v>
      </c>
      <c r="J28"/>
      <c r="K28"/>
      <c r="L28" t="s">
        <v>191</v>
      </c>
      <c r="M28"/>
      <c r="N28"/>
      <c r="O28"/>
      <c r="P28"/>
      <c r="Q28"/>
      <c r="R28"/>
      <c r="S28"/>
      <c r="T28"/>
      <c r="U28"/>
      <c r="V28" t="s">
        <v>192</v>
      </c>
      <c r="W28"/>
      <c r="X28"/>
      <c r="Y28"/>
      <c r="Z28"/>
      <c r="AA28"/>
      <c r="AB28"/>
      <c r="AC28"/>
      <c r="AD28"/>
      <c r="AE28"/>
      <c r="AF28"/>
      <c r="AG28"/>
      <c r="AH28"/>
      <c r="AI28"/>
      <c r="AJ28"/>
      <c r="AK28"/>
      <c r="AL28"/>
      <c r="AM28"/>
      <c r="AN28"/>
      <c r="AO28"/>
      <c r="AP28"/>
      <c r="AQ28"/>
      <c r="AR28"/>
    </row>
    <row r="29" spans="4:44" ht="15">
      <c r="D29">
        <v>28</v>
      </c>
      <c r="E29">
        <v>2</v>
      </c>
      <c r="F29" t="s">
        <v>142</v>
      </c>
      <c r="G29" t="s">
        <v>193</v>
      </c>
      <c r="H29"/>
      <c r="I29" t="s">
        <v>129</v>
      </c>
      <c r="J29"/>
      <c r="K29"/>
      <c r="L29"/>
      <c r="M29"/>
      <c r="N29"/>
      <c r="O29"/>
      <c r="P29"/>
      <c r="Q29"/>
      <c r="R29"/>
      <c r="S29"/>
      <c r="T29"/>
      <c r="U29"/>
      <c r="V29" t="s">
        <v>209</v>
      </c>
      <c r="W29" t="s">
        <v>463</v>
      </c>
      <c r="X29"/>
      <c r="Y29"/>
      <c r="Z29"/>
      <c r="AA29"/>
      <c r="AB29"/>
      <c r="AC29"/>
      <c r="AD29"/>
      <c r="AE29"/>
      <c r="AF29"/>
      <c r="AG29"/>
      <c r="AH29"/>
      <c r="AI29"/>
      <c r="AJ29"/>
      <c r="AK29"/>
      <c r="AL29"/>
      <c r="AM29"/>
      <c r="AN29"/>
      <c r="AO29"/>
      <c r="AP29"/>
      <c r="AQ29"/>
      <c r="AR29"/>
    </row>
    <row r="30" spans="4:44" ht="15">
      <c r="D30">
        <v>29</v>
      </c>
      <c r="E30">
        <v>2</v>
      </c>
      <c r="F30" t="s">
        <v>142</v>
      </c>
      <c r="G30" t="s">
        <v>194</v>
      </c>
      <c r="H30"/>
      <c r="I30" t="s">
        <v>129</v>
      </c>
      <c r="J30"/>
      <c r="K30"/>
      <c r="L30" t="s">
        <v>191</v>
      </c>
      <c r="M30"/>
      <c r="N30"/>
      <c r="O30"/>
      <c r="P30"/>
      <c r="Q30"/>
      <c r="R30"/>
      <c r="S30"/>
      <c r="T30"/>
      <c r="U30"/>
      <c r="V30" t="s">
        <v>195</v>
      </c>
      <c r="W30" t="s">
        <v>464</v>
      </c>
      <c r="X30"/>
      <c r="Y30"/>
      <c r="Z30"/>
      <c r="AA30"/>
      <c r="AB30"/>
      <c r="AC30"/>
      <c r="AD30"/>
      <c r="AE30"/>
      <c r="AF30"/>
      <c r="AG30"/>
      <c r="AH30"/>
      <c r="AI30"/>
      <c r="AJ30"/>
      <c r="AK30"/>
      <c r="AL30"/>
      <c r="AM30"/>
      <c r="AN30"/>
      <c r="AO30"/>
      <c r="AP30"/>
      <c r="AQ30"/>
      <c r="AR30"/>
    </row>
    <row r="31" spans="4:44" ht="15">
      <c r="D31">
        <v>30</v>
      </c>
      <c r="E31">
        <v>2</v>
      </c>
      <c r="F31" t="s">
        <v>142</v>
      </c>
      <c r="G31" t="s">
        <v>196</v>
      </c>
      <c r="H31"/>
      <c r="I31" t="s">
        <v>129</v>
      </c>
      <c r="J31"/>
      <c r="K31"/>
      <c r="L31"/>
      <c r="M31"/>
      <c r="N31"/>
      <c r="O31"/>
      <c r="P31"/>
      <c r="Q31"/>
      <c r="R31"/>
      <c r="S31"/>
      <c r="T31"/>
      <c r="U31"/>
      <c r="V31" t="s">
        <v>396</v>
      </c>
      <c r="W31" t="s">
        <v>465</v>
      </c>
      <c r="X31"/>
      <c r="Y31"/>
      <c r="Z31"/>
      <c r="AA31"/>
      <c r="AB31"/>
      <c r="AC31"/>
      <c r="AD31"/>
      <c r="AE31"/>
      <c r="AF31"/>
      <c r="AG31"/>
      <c r="AH31"/>
      <c r="AI31"/>
      <c r="AJ31"/>
      <c r="AK31"/>
      <c r="AL31"/>
      <c r="AM31"/>
      <c r="AN31"/>
      <c r="AO31"/>
      <c r="AP31"/>
      <c r="AQ31"/>
      <c r="AR31"/>
    </row>
    <row r="32" spans="4:44" ht="15">
      <c r="D32">
        <v>31</v>
      </c>
      <c r="E32">
        <v>1</v>
      </c>
      <c r="F32"/>
      <c r="G32" t="s">
        <v>197</v>
      </c>
      <c r="H32"/>
      <c r="I32" t="s">
        <v>198</v>
      </c>
      <c r="J32"/>
      <c r="K32"/>
      <c r="L32"/>
      <c r="M32"/>
      <c r="N32"/>
      <c r="O32"/>
      <c r="P32"/>
      <c r="Q32"/>
      <c r="R32"/>
      <c r="S32"/>
      <c r="T32"/>
      <c r="U32"/>
      <c r="V32" t="s">
        <v>397</v>
      </c>
      <c r="W32"/>
      <c r="X32"/>
      <c r="Y32" t="s">
        <v>197</v>
      </c>
      <c r="Z32"/>
      <c r="AA32" t="s">
        <v>198</v>
      </c>
      <c r="AB32"/>
      <c r="AC32"/>
      <c r="AD32"/>
      <c r="AE32"/>
      <c r="AF32"/>
      <c r="AG32"/>
      <c r="AH32"/>
      <c r="AI32"/>
      <c r="AJ32"/>
      <c r="AK32"/>
      <c r="AL32"/>
      <c r="AM32"/>
      <c r="AN32" t="s">
        <v>466</v>
      </c>
      <c r="AO32"/>
      <c r="AP32"/>
      <c r="AQ32"/>
      <c r="AR32"/>
    </row>
    <row r="33" spans="1:63" ht="15">
      <c r="D33">
        <v>32</v>
      </c>
      <c r="E33">
        <v>1</v>
      </c>
      <c r="F33"/>
      <c r="G33" t="s">
        <v>199</v>
      </c>
      <c r="H33"/>
      <c r="I33" t="s">
        <v>198</v>
      </c>
      <c r="J33"/>
      <c r="K33"/>
      <c r="L33"/>
      <c r="M33"/>
      <c r="N33"/>
      <c r="O33"/>
      <c r="P33"/>
      <c r="Q33"/>
      <c r="R33"/>
      <c r="S33"/>
      <c r="T33"/>
      <c r="U33"/>
      <c r="V33" t="s">
        <v>200</v>
      </c>
      <c r="W33"/>
      <c r="X33"/>
      <c r="Y33" t="s">
        <v>199</v>
      </c>
      <c r="Z33"/>
      <c r="AA33" t="s">
        <v>198</v>
      </c>
      <c r="AB33"/>
      <c r="AC33"/>
      <c r="AD33"/>
      <c r="AE33"/>
      <c r="AF33"/>
      <c r="AG33"/>
      <c r="AH33"/>
      <c r="AI33"/>
      <c r="AJ33"/>
      <c r="AK33"/>
      <c r="AL33"/>
      <c r="AM33"/>
      <c r="AN33" t="s">
        <v>467</v>
      </c>
      <c r="AO33"/>
      <c r="AP33"/>
      <c r="AQ33"/>
      <c r="AR33"/>
    </row>
    <row r="34" spans="1:63" ht="15">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row>
    <row r="35" spans="1:63" ht="15">
      <c r="A35"/>
      <c r="B35"/>
      <c r="C35"/>
      <c r="D35">
        <v>1</v>
      </c>
      <c r="E35">
        <v>1</v>
      </c>
      <c r="F35" t="s">
        <v>218</v>
      </c>
      <c r="G35" t="s">
        <v>219</v>
      </c>
      <c r="H35"/>
      <c r="I35" t="s">
        <v>44</v>
      </c>
      <c r="J35"/>
      <c r="K35"/>
      <c r="L35"/>
      <c r="M35">
        <v>1</v>
      </c>
      <c r="N35" t="s">
        <v>213</v>
      </c>
      <c r="O35"/>
      <c r="P35"/>
      <c r="Q35"/>
      <c r="R35"/>
      <c r="S35"/>
      <c r="T35"/>
      <c r="U35"/>
      <c r="V35" t="s">
        <v>220</v>
      </c>
      <c r="W35"/>
      <c r="X35"/>
      <c r="Y35" t="s">
        <v>219</v>
      </c>
      <c r="Z35"/>
      <c r="AA35" t="s">
        <v>44</v>
      </c>
      <c r="AB35"/>
      <c r="AC35"/>
      <c r="AD35"/>
      <c r="AE35">
        <v>1</v>
      </c>
      <c r="AF35" t="s">
        <v>45</v>
      </c>
      <c r="AG35"/>
      <c r="AH35"/>
      <c r="AI35"/>
      <c r="AJ35"/>
      <c r="AK35"/>
      <c r="AL35">
        <v>10</v>
      </c>
      <c r="AM35"/>
      <c r="AN35" t="s">
        <v>441</v>
      </c>
      <c r="AO35"/>
      <c r="AP35"/>
      <c r="AQ35"/>
      <c r="AR35"/>
      <c r="AS35"/>
      <c r="AT35"/>
      <c r="AU35"/>
      <c r="AV35"/>
      <c r="AW35"/>
      <c r="AX35"/>
      <c r="AY35"/>
      <c r="AZ35"/>
      <c r="BA35"/>
      <c r="BB35"/>
      <c r="BC35"/>
      <c r="BD35"/>
      <c r="BE35"/>
      <c r="BF35"/>
      <c r="BG35"/>
      <c r="BH35"/>
      <c r="BI35"/>
      <c r="BJ35"/>
      <c r="BK35"/>
    </row>
    <row r="36" spans="1:63" ht="15">
      <c r="A36"/>
      <c r="B36"/>
      <c r="C36"/>
      <c r="D36">
        <v>3</v>
      </c>
      <c r="E36">
        <v>1</v>
      </c>
      <c r="F36" t="s">
        <v>218</v>
      </c>
      <c r="G36" t="s">
        <v>221</v>
      </c>
      <c r="H36"/>
      <c r="I36" t="s">
        <v>44</v>
      </c>
      <c r="J36"/>
      <c r="K36"/>
      <c r="L36"/>
      <c r="M36">
        <v>2</v>
      </c>
      <c r="N36" t="s">
        <v>213</v>
      </c>
      <c r="O36"/>
      <c r="P36"/>
      <c r="Q36"/>
      <c r="R36"/>
      <c r="S36"/>
      <c r="T36"/>
      <c r="U36"/>
      <c r="V36" t="s">
        <v>453</v>
      </c>
      <c r="W36"/>
      <c r="X36"/>
      <c r="Y36" t="s">
        <v>437</v>
      </c>
      <c r="Z36"/>
      <c r="AA36" t="s">
        <v>44</v>
      </c>
      <c r="AB36"/>
      <c r="AC36"/>
      <c r="AD36"/>
      <c r="AE36">
        <v>2</v>
      </c>
      <c r="AF36" t="s">
        <v>45</v>
      </c>
      <c r="AG36"/>
      <c r="AH36"/>
      <c r="AI36"/>
      <c r="AJ36"/>
      <c r="AK36"/>
      <c r="AL36">
        <v>5</v>
      </c>
      <c r="AM36"/>
      <c r="AN36" t="s">
        <v>442</v>
      </c>
      <c r="AO36"/>
      <c r="AP36"/>
      <c r="AQ36"/>
      <c r="AR36"/>
      <c r="AS36"/>
      <c r="AT36"/>
      <c r="AU36"/>
      <c r="AV36"/>
      <c r="AW36"/>
      <c r="AX36"/>
      <c r="AY36"/>
      <c r="AZ36"/>
      <c r="BA36"/>
      <c r="BB36"/>
      <c r="BC36"/>
      <c r="BD36"/>
      <c r="BE36"/>
      <c r="BF36"/>
      <c r="BG36"/>
      <c r="BH36"/>
      <c r="BI36"/>
      <c r="BJ36"/>
      <c r="BK36"/>
    </row>
    <row r="37" spans="1:63" ht="15">
      <c r="A37"/>
      <c r="B37"/>
      <c r="C37"/>
      <c r="D37">
        <v>4</v>
      </c>
      <c r="E37">
        <v>1</v>
      </c>
      <c r="F37" t="s">
        <v>218</v>
      </c>
      <c r="G37" t="s">
        <v>221</v>
      </c>
      <c r="H37"/>
      <c r="I37" t="s">
        <v>44</v>
      </c>
      <c r="J37"/>
      <c r="K37"/>
      <c r="L37"/>
      <c r="M37">
        <v>2</v>
      </c>
      <c r="N37" t="s">
        <v>213</v>
      </c>
      <c r="O37"/>
      <c r="P37"/>
      <c r="Q37"/>
      <c r="R37"/>
      <c r="S37"/>
      <c r="T37"/>
      <c r="U37"/>
      <c r="V37" t="s">
        <v>453</v>
      </c>
      <c r="W37"/>
      <c r="X37"/>
      <c r="Y37" t="s">
        <v>438</v>
      </c>
      <c r="Z37"/>
      <c r="AA37" t="s">
        <v>44</v>
      </c>
      <c r="AB37"/>
      <c r="AC37"/>
      <c r="AD37"/>
      <c r="AE37">
        <v>2</v>
      </c>
      <c r="AF37" t="s">
        <v>45</v>
      </c>
      <c r="AG37"/>
      <c r="AH37"/>
      <c r="AI37"/>
      <c r="AJ37"/>
      <c r="AK37"/>
      <c r="AL37">
        <v>20</v>
      </c>
      <c r="AM37"/>
      <c r="AN37" t="s">
        <v>443</v>
      </c>
      <c r="AO37"/>
      <c r="AP37"/>
      <c r="AQ37"/>
      <c r="AR37"/>
      <c r="AS37"/>
      <c r="AT37"/>
      <c r="AU37"/>
      <c r="AV37"/>
      <c r="AW37"/>
      <c r="AX37"/>
      <c r="AY37"/>
      <c r="AZ37"/>
      <c r="BA37"/>
      <c r="BB37"/>
      <c r="BC37"/>
      <c r="BD37"/>
      <c r="BE37"/>
      <c r="BF37"/>
      <c r="BG37"/>
      <c r="BH37"/>
      <c r="BI37"/>
      <c r="BJ37"/>
      <c r="BK37"/>
    </row>
    <row r="38" spans="1:63" ht="15">
      <c r="A38"/>
      <c r="B38"/>
      <c r="C38"/>
      <c r="D38">
        <v>5</v>
      </c>
      <c r="E38">
        <v>1</v>
      </c>
      <c r="F38" t="s">
        <v>218</v>
      </c>
      <c r="G38" t="s">
        <v>221</v>
      </c>
      <c r="H38"/>
      <c r="I38" t="s">
        <v>44</v>
      </c>
      <c r="J38"/>
      <c r="K38"/>
      <c r="L38"/>
      <c r="M38">
        <v>2</v>
      </c>
      <c r="N38" t="s">
        <v>213</v>
      </c>
      <c r="O38"/>
      <c r="P38"/>
      <c r="Q38"/>
      <c r="R38"/>
      <c r="S38"/>
      <c r="T38"/>
      <c r="U38"/>
      <c r="V38" t="s">
        <v>453</v>
      </c>
      <c r="W38"/>
      <c r="X38"/>
      <c r="Y38" t="s">
        <v>439</v>
      </c>
      <c r="Z38"/>
      <c r="AA38" t="s">
        <v>44</v>
      </c>
      <c r="AB38"/>
      <c r="AC38"/>
      <c r="AD38"/>
      <c r="AE38">
        <v>2</v>
      </c>
      <c r="AF38" t="s">
        <v>45</v>
      </c>
      <c r="AG38"/>
      <c r="AH38"/>
      <c r="AI38"/>
      <c r="AJ38"/>
      <c r="AK38"/>
      <c r="AL38">
        <v>5</v>
      </c>
      <c r="AM38"/>
      <c r="AN38" t="s">
        <v>444</v>
      </c>
      <c r="AO38"/>
      <c r="AP38"/>
      <c r="AQ38"/>
      <c r="AR38"/>
      <c r="AS38"/>
      <c r="AT38"/>
      <c r="AU38"/>
      <c r="AV38"/>
      <c r="AW38"/>
      <c r="AX38"/>
      <c r="AY38"/>
      <c r="AZ38"/>
      <c r="BA38"/>
      <c r="BB38"/>
      <c r="BC38"/>
      <c r="BD38"/>
      <c r="BE38"/>
      <c r="BF38"/>
      <c r="BG38"/>
      <c r="BH38"/>
      <c r="BI38"/>
      <c r="BJ38"/>
      <c r="BK38"/>
    </row>
    <row r="39" spans="1:63" ht="15">
      <c r="A39"/>
      <c r="B39"/>
      <c r="C39"/>
      <c r="D39">
        <v>7</v>
      </c>
      <c r="E39">
        <v>1</v>
      </c>
      <c r="F39" t="s">
        <v>218</v>
      </c>
      <c r="G39" t="s">
        <v>222</v>
      </c>
      <c r="H39"/>
      <c r="I39" t="s">
        <v>44</v>
      </c>
      <c r="J39"/>
      <c r="K39"/>
      <c r="L39"/>
      <c r="M39">
        <v>3</v>
      </c>
      <c r="N39" t="s">
        <v>213</v>
      </c>
      <c r="O39"/>
      <c r="P39"/>
      <c r="Q39"/>
      <c r="R39"/>
      <c r="S39"/>
      <c r="T39"/>
      <c r="U39"/>
      <c r="V39" t="s">
        <v>454</v>
      </c>
      <c r="W39"/>
      <c r="X39"/>
      <c r="Y39" t="s">
        <v>146</v>
      </c>
      <c r="Z39"/>
      <c r="AA39" t="s">
        <v>44</v>
      </c>
      <c r="AB39"/>
      <c r="AC39"/>
      <c r="AD39"/>
      <c r="AE39">
        <v>3</v>
      </c>
      <c r="AF39" t="s">
        <v>45</v>
      </c>
      <c r="AG39"/>
      <c r="AH39"/>
      <c r="AI39"/>
      <c r="AJ39"/>
      <c r="AK39"/>
      <c r="AL39">
        <v>20</v>
      </c>
      <c r="AM39"/>
      <c r="AN39" t="s">
        <v>445</v>
      </c>
      <c r="AO39"/>
      <c r="AP39"/>
      <c r="AQ39"/>
      <c r="AR39"/>
      <c r="AS39"/>
      <c r="AT39"/>
      <c r="AU39"/>
      <c r="AV39"/>
      <c r="AW39"/>
      <c r="AX39"/>
      <c r="AY39"/>
      <c r="AZ39"/>
      <c r="BA39"/>
      <c r="BB39"/>
      <c r="BC39"/>
      <c r="BD39"/>
      <c r="BE39"/>
      <c r="BF39"/>
      <c r="BG39"/>
      <c r="BH39"/>
      <c r="BI39"/>
      <c r="BJ39"/>
      <c r="BK39"/>
    </row>
    <row r="40" spans="1:63" ht="15">
      <c r="A40"/>
      <c r="B40"/>
      <c r="C40"/>
      <c r="D40">
        <v>8</v>
      </c>
      <c r="E40">
        <v>1</v>
      </c>
      <c r="F40" t="s">
        <v>218</v>
      </c>
      <c r="G40" t="s">
        <v>222</v>
      </c>
      <c r="H40"/>
      <c r="I40" t="s">
        <v>44</v>
      </c>
      <c r="J40"/>
      <c r="K40"/>
      <c r="L40"/>
      <c r="M40">
        <v>3</v>
      </c>
      <c r="N40" t="s">
        <v>213</v>
      </c>
      <c r="O40"/>
      <c r="P40"/>
      <c r="Q40"/>
      <c r="R40"/>
      <c r="S40"/>
      <c r="T40"/>
      <c r="U40"/>
      <c r="V40" t="s">
        <v>454</v>
      </c>
      <c r="W40"/>
      <c r="X40"/>
      <c r="Y40" t="s">
        <v>148</v>
      </c>
      <c r="Z40"/>
      <c r="AA40" t="s">
        <v>44</v>
      </c>
      <c r="AB40"/>
      <c r="AC40"/>
      <c r="AD40"/>
      <c r="AE40">
        <v>3</v>
      </c>
      <c r="AF40" t="s">
        <v>45</v>
      </c>
      <c r="AG40"/>
      <c r="AH40"/>
      <c r="AI40"/>
      <c r="AJ40"/>
      <c r="AK40"/>
      <c r="AL40">
        <v>15</v>
      </c>
      <c r="AM40"/>
      <c r="AN40" t="s">
        <v>446</v>
      </c>
      <c r="AO40"/>
      <c r="AP40"/>
      <c r="AQ40"/>
      <c r="AR40"/>
      <c r="AS40"/>
      <c r="AT40"/>
      <c r="AU40"/>
      <c r="AV40"/>
      <c r="AW40"/>
      <c r="AX40"/>
      <c r="AY40"/>
      <c r="AZ40"/>
      <c r="BA40"/>
      <c r="BB40"/>
      <c r="BC40"/>
      <c r="BD40"/>
      <c r="BE40"/>
      <c r="BF40"/>
      <c r="BG40"/>
      <c r="BH40"/>
      <c r="BI40"/>
      <c r="BJ40"/>
      <c r="BK40"/>
    </row>
    <row r="41" spans="1:63" ht="15">
      <c r="A41"/>
      <c r="B41"/>
      <c r="C41"/>
      <c r="D41">
        <v>9</v>
      </c>
      <c r="E41">
        <v>1</v>
      </c>
      <c r="F41" t="s">
        <v>218</v>
      </c>
      <c r="G41" t="s">
        <v>222</v>
      </c>
      <c r="H41"/>
      <c r="I41" t="s">
        <v>44</v>
      </c>
      <c r="J41"/>
      <c r="K41"/>
      <c r="L41"/>
      <c r="M41">
        <v>3</v>
      </c>
      <c r="N41" t="s">
        <v>213</v>
      </c>
      <c r="O41"/>
      <c r="P41"/>
      <c r="Q41"/>
      <c r="R41"/>
      <c r="S41"/>
      <c r="T41"/>
      <c r="U41"/>
      <c r="V41" t="s">
        <v>454</v>
      </c>
      <c r="W41"/>
      <c r="X41"/>
      <c r="Y41" t="s">
        <v>440</v>
      </c>
      <c r="Z41"/>
      <c r="AA41" t="s">
        <v>44</v>
      </c>
      <c r="AB41"/>
      <c r="AC41"/>
      <c r="AD41"/>
      <c r="AE41">
        <v>3</v>
      </c>
      <c r="AF41" t="s">
        <v>45</v>
      </c>
      <c r="AG41"/>
      <c r="AH41"/>
      <c r="AI41"/>
      <c r="AJ41"/>
      <c r="AK41"/>
      <c r="AL41">
        <v>10</v>
      </c>
      <c r="AM41"/>
      <c r="AN41" t="s">
        <v>422</v>
      </c>
      <c r="AO41"/>
      <c r="AP41"/>
      <c r="AQ41"/>
      <c r="AR41"/>
      <c r="AS41"/>
      <c r="AT41"/>
      <c r="AU41"/>
      <c r="AV41"/>
      <c r="AW41"/>
      <c r="AX41"/>
      <c r="AY41"/>
      <c r="AZ41"/>
      <c r="BA41"/>
      <c r="BB41"/>
      <c r="BC41"/>
      <c r="BD41"/>
      <c r="BE41"/>
      <c r="BF41"/>
      <c r="BG41"/>
      <c r="BH41"/>
      <c r="BI41"/>
      <c r="BJ41"/>
      <c r="BK41"/>
    </row>
    <row r="42" spans="1:63" ht="15">
      <c r="A42"/>
      <c r="B42"/>
      <c r="C42"/>
      <c r="D42">
        <v>10</v>
      </c>
      <c r="E42">
        <v>1</v>
      </c>
      <c r="F42" t="s">
        <v>218</v>
      </c>
      <c r="G42" t="s">
        <v>223</v>
      </c>
      <c r="H42" t="s">
        <v>35</v>
      </c>
      <c r="I42" t="s">
        <v>43</v>
      </c>
      <c r="J42"/>
      <c r="K42" t="s">
        <v>224</v>
      </c>
      <c r="L42"/>
      <c r="M42"/>
      <c r="N42"/>
      <c r="O42">
        <v>1</v>
      </c>
      <c r="P42"/>
      <c r="Q42"/>
      <c r="R42"/>
      <c r="S42"/>
      <c r="T42">
        <v>1</v>
      </c>
      <c r="U42"/>
      <c r="V42" t="s">
        <v>370</v>
      </c>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row>
    <row r="43" spans="1:63" ht="15">
      <c r="A43"/>
      <c r="B43"/>
      <c r="C43"/>
      <c r="D43">
        <v>11</v>
      </c>
      <c r="E43">
        <v>1</v>
      </c>
      <c r="F43" t="s">
        <v>218</v>
      </c>
      <c r="G43" t="s">
        <v>225</v>
      </c>
      <c r="H43" t="s">
        <v>35</v>
      </c>
      <c r="I43" t="s">
        <v>42</v>
      </c>
      <c r="J43"/>
      <c r="K43" t="s">
        <v>365</v>
      </c>
      <c r="L43"/>
      <c r="M43"/>
      <c r="N43">
        <v>50</v>
      </c>
      <c r="O43" t="s">
        <v>167</v>
      </c>
      <c r="P43"/>
      <c r="Q43">
        <v>6</v>
      </c>
      <c r="R43">
        <v>3</v>
      </c>
      <c r="S43">
        <v>10</v>
      </c>
      <c r="T43"/>
      <c r="U43">
        <v>6</v>
      </c>
      <c r="V43" t="s">
        <v>398</v>
      </c>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row>
    <row r="44" spans="1:63" ht="15">
      <c r="A44"/>
      <c r="B44"/>
      <c r="C44"/>
      <c r="D44">
        <v>12</v>
      </c>
      <c r="E44">
        <v>1</v>
      </c>
      <c r="F44"/>
      <c r="G44" t="s">
        <v>366</v>
      </c>
      <c r="H44" t="s">
        <v>35</v>
      </c>
      <c r="I44" t="s">
        <v>42</v>
      </c>
      <c r="J44"/>
      <c r="K44" t="s">
        <v>365</v>
      </c>
      <c r="L44"/>
      <c r="M44"/>
      <c r="N44">
        <v>36</v>
      </c>
      <c r="O44">
        <v>3</v>
      </c>
      <c r="P44"/>
      <c r="Q44">
        <v>6</v>
      </c>
      <c r="R44">
        <v>3</v>
      </c>
      <c r="S44">
        <v>9</v>
      </c>
      <c r="T44"/>
      <c r="U44"/>
      <c r="V44" t="s">
        <v>399</v>
      </c>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row>
    <row r="45" spans="1:63" ht="15">
      <c r="A45"/>
      <c r="B45"/>
      <c r="C45"/>
      <c r="D45">
        <v>13</v>
      </c>
      <c r="E45">
        <v>1</v>
      </c>
      <c r="F45"/>
      <c r="G45" t="s">
        <v>226</v>
      </c>
      <c r="H45"/>
      <c r="I45" t="s">
        <v>43</v>
      </c>
      <c r="J45"/>
      <c r="K45" t="s">
        <v>182</v>
      </c>
      <c r="L45"/>
      <c r="M45"/>
      <c r="N45"/>
      <c r="O45">
        <v>2</v>
      </c>
      <c r="P45"/>
      <c r="Q45"/>
      <c r="R45"/>
      <c r="S45"/>
      <c r="T45">
        <v>2</v>
      </c>
      <c r="U45"/>
      <c r="V45" t="s">
        <v>371</v>
      </c>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row>
    <row r="46" spans="1:63" ht="15">
      <c r="A46"/>
      <c r="B46"/>
      <c r="C46"/>
      <c r="D46">
        <v>14</v>
      </c>
      <c r="E46">
        <v>0</v>
      </c>
      <c r="F46"/>
      <c r="G46" t="s">
        <v>227</v>
      </c>
      <c r="H46"/>
      <c r="I46" t="s">
        <v>129</v>
      </c>
      <c r="J46"/>
      <c r="K46"/>
      <c r="L46"/>
      <c r="M46"/>
      <c r="N46"/>
      <c r="O46"/>
      <c r="P46"/>
      <c r="Q46"/>
      <c r="R46"/>
      <c r="S46"/>
      <c r="T46"/>
      <c r="U46"/>
      <c r="V46" t="s">
        <v>368</v>
      </c>
      <c r="W46" t="s">
        <v>468</v>
      </c>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row>
    <row r="47" spans="1:63" ht="15">
      <c r="A47"/>
      <c r="B47"/>
      <c r="C47"/>
      <c r="D47">
        <v>15</v>
      </c>
      <c r="E47">
        <v>1</v>
      </c>
      <c r="F47"/>
      <c r="G47" t="s">
        <v>154</v>
      </c>
      <c r="H47" t="s">
        <v>35</v>
      </c>
      <c r="I47" t="s">
        <v>42</v>
      </c>
      <c r="J47"/>
      <c r="K47" t="s">
        <v>228</v>
      </c>
      <c r="L47"/>
      <c r="M47"/>
      <c r="N47">
        <v>37</v>
      </c>
      <c r="O47">
        <v>3</v>
      </c>
      <c r="P47"/>
      <c r="Q47">
        <v>7</v>
      </c>
      <c r="R47">
        <v>1</v>
      </c>
      <c r="S47">
        <v>9</v>
      </c>
      <c r="T47"/>
      <c r="U47"/>
      <c r="V47" t="s">
        <v>414</v>
      </c>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row>
    <row r="48" spans="1:63" ht="15">
      <c r="A48"/>
      <c r="B48"/>
      <c r="C48"/>
      <c r="D48">
        <v>16</v>
      </c>
      <c r="E48">
        <v>1</v>
      </c>
      <c r="F48"/>
      <c r="G48" t="s">
        <v>229</v>
      </c>
      <c r="H48"/>
      <c r="I48" t="s">
        <v>43</v>
      </c>
      <c r="J48"/>
      <c r="K48" t="s">
        <v>104</v>
      </c>
      <c r="L48"/>
      <c r="M48"/>
      <c r="N48"/>
      <c r="O48">
        <v>2</v>
      </c>
      <c r="P48"/>
      <c r="Q48"/>
      <c r="R48"/>
      <c r="S48"/>
      <c r="T48">
        <v>5</v>
      </c>
      <c r="U48"/>
      <c r="V48" t="s">
        <v>423</v>
      </c>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row>
    <row r="49" spans="1:63" ht="15">
      <c r="A49"/>
      <c r="B49"/>
      <c r="C49"/>
      <c r="D49">
        <v>17</v>
      </c>
      <c r="E49">
        <v>1</v>
      </c>
      <c r="F49"/>
      <c r="G49" t="s">
        <v>230</v>
      </c>
      <c r="H49"/>
      <c r="I49" t="s">
        <v>129</v>
      </c>
      <c r="J49"/>
      <c r="K49"/>
      <c r="L49"/>
      <c r="M49"/>
      <c r="N49"/>
      <c r="O49"/>
      <c r="P49"/>
      <c r="Q49"/>
      <c r="R49"/>
      <c r="S49"/>
      <c r="T49"/>
      <c r="U49"/>
      <c r="V49" t="s">
        <v>400</v>
      </c>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row>
    <row r="50" spans="1:63" ht="15">
      <c r="A50"/>
      <c r="B50"/>
      <c r="C50"/>
      <c r="D50">
        <v>18</v>
      </c>
      <c r="E50">
        <v>1</v>
      </c>
      <c r="F50"/>
      <c r="G50" t="s">
        <v>231</v>
      </c>
      <c r="H50"/>
      <c r="I50" t="s">
        <v>42</v>
      </c>
      <c r="J50"/>
      <c r="K50" t="s">
        <v>232</v>
      </c>
      <c r="L50"/>
      <c r="M50"/>
      <c r="N50">
        <v>6</v>
      </c>
      <c r="O50">
        <v>2</v>
      </c>
      <c r="P50"/>
      <c r="Q50">
        <v>1</v>
      </c>
      <c r="R50">
        <v>1</v>
      </c>
      <c r="S50">
        <v>6</v>
      </c>
      <c r="T50"/>
      <c r="U50"/>
      <c r="V50" t="s">
        <v>372</v>
      </c>
      <c r="W50" t="s">
        <v>469</v>
      </c>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row>
    <row r="51" spans="1:63" ht="15">
      <c r="A51"/>
      <c r="B51"/>
      <c r="C51"/>
      <c r="D51">
        <v>19</v>
      </c>
      <c r="E51">
        <v>1</v>
      </c>
      <c r="F51"/>
      <c r="G51" t="s">
        <v>233</v>
      </c>
      <c r="H51" t="s">
        <v>35</v>
      </c>
      <c r="I51" t="s">
        <v>43</v>
      </c>
      <c r="J51"/>
      <c r="K51" t="s">
        <v>104</v>
      </c>
      <c r="L51"/>
      <c r="M51"/>
      <c r="N51"/>
      <c r="O51">
        <v>0</v>
      </c>
      <c r="P51"/>
      <c r="Q51"/>
      <c r="R51"/>
      <c r="S51"/>
      <c r="T51">
        <v>6</v>
      </c>
      <c r="U51"/>
      <c r="V51" t="s">
        <v>415</v>
      </c>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row>
    <row r="52" spans="1:63" ht="15">
      <c r="A52"/>
      <c r="B52"/>
      <c r="C52"/>
      <c r="D52">
        <v>20</v>
      </c>
      <c r="E52">
        <v>1</v>
      </c>
      <c r="F52"/>
      <c r="G52" t="s">
        <v>234</v>
      </c>
      <c r="H52"/>
      <c r="I52" t="s">
        <v>129</v>
      </c>
      <c r="J52"/>
      <c r="K52"/>
      <c r="L52"/>
      <c r="M52"/>
      <c r="N52"/>
      <c r="O52"/>
      <c r="P52"/>
      <c r="Q52"/>
      <c r="R52"/>
      <c r="S52"/>
      <c r="T52"/>
      <c r="U52"/>
      <c r="V52" t="s">
        <v>235</v>
      </c>
      <c r="W52" t="s">
        <v>470</v>
      </c>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row>
    <row r="53" spans="1:63" ht="15">
      <c r="A53"/>
      <c r="B53"/>
      <c r="C53"/>
      <c r="D53">
        <v>21</v>
      </c>
      <c r="E53">
        <v>1</v>
      </c>
      <c r="F53"/>
      <c r="G53" t="s">
        <v>236</v>
      </c>
      <c r="H53"/>
      <c r="I53" t="s">
        <v>42</v>
      </c>
      <c r="J53"/>
      <c r="K53" t="s">
        <v>237</v>
      </c>
      <c r="L53"/>
      <c r="M53"/>
      <c r="N53">
        <v>38</v>
      </c>
      <c r="O53">
        <v>2</v>
      </c>
      <c r="P53"/>
      <c r="Q53">
        <v>4</v>
      </c>
      <c r="R53">
        <v>2</v>
      </c>
      <c r="S53">
        <v>5</v>
      </c>
      <c r="T53"/>
      <c r="U53"/>
      <c r="V53" t="s">
        <v>401</v>
      </c>
      <c r="W53" t="s">
        <v>471</v>
      </c>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row>
    <row r="54" spans="1:63" ht="15">
      <c r="A54"/>
      <c r="B54"/>
      <c r="C54"/>
      <c r="D54">
        <v>22</v>
      </c>
      <c r="E54">
        <v>1</v>
      </c>
      <c r="F54"/>
      <c r="G54" t="s">
        <v>238</v>
      </c>
      <c r="H54"/>
      <c r="I54" t="s">
        <v>43</v>
      </c>
      <c r="J54"/>
      <c r="K54" t="s">
        <v>239</v>
      </c>
      <c r="L54"/>
      <c r="M54"/>
      <c r="N54"/>
      <c r="O54">
        <v>2</v>
      </c>
      <c r="P54"/>
      <c r="Q54"/>
      <c r="R54"/>
      <c r="S54"/>
      <c r="T54">
        <v>4</v>
      </c>
      <c r="U54"/>
      <c r="V54" t="s">
        <v>424</v>
      </c>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row>
    <row r="55" spans="1:63" ht="15">
      <c r="A55"/>
      <c r="B55"/>
      <c r="C55"/>
      <c r="D55">
        <v>23</v>
      </c>
      <c r="E55">
        <v>0</v>
      </c>
      <c r="F55"/>
      <c r="G55" t="s">
        <v>240</v>
      </c>
      <c r="H55"/>
      <c r="I55" t="s">
        <v>129</v>
      </c>
      <c r="J55"/>
      <c r="K55"/>
      <c r="L55" t="s">
        <v>191</v>
      </c>
      <c r="M55"/>
      <c r="N55"/>
      <c r="O55"/>
      <c r="P55"/>
      <c r="Q55"/>
      <c r="R55"/>
      <c r="S55"/>
      <c r="T55"/>
      <c r="U55"/>
      <c r="V55" t="s">
        <v>378</v>
      </c>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row>
    <row r="56" spans="1:63" ht="15">
      <c r="A56"/>
      <c r="B56"/>
      <c r="C56"/>
      <c r="D56">
        <v>24</v>
      </c>
      <c r="E56">
        <v>1</v>
      </c>
      <c r="F56"/>
      <c r="G56" t="s">
        <v>241</v>
      </c>
      <c r="H56"/>
      <c r="I56" t="s">
        <v>42</v>
      </c>
      <c r="J56"/>
      <c r="K56" t="s">
        <v>242</v>
      </c>
      <c r="L56"/>
      <c r="M56"/>
      <c r="N56">
        <v>21</v>
      </c>
      <c r="O56">
        <v>2</v>
      </c>
      <c r="P56"/>
      <c r="Q56">
        <v>2</v>
      </c>
      <c r="R56">
        <v>1</v>
      </c>
      <c r="S56">
        <v>2</v>
      </c>
      <c r="T56"/>
      <c r="U56"/>
      <c r="V56" t="s">
        <v>373</v>
      </c>
      <c r="W56" t="s">
        <v>472</v>
      </c>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row>
    <row r="57" spans="1:63" ht="15">
      <c r="A57"/>
      <c r="B57"/>
      <c r="C57"/>
      <c r="D57">
        <v>25</v>
      </c>
      <c r="E57">
        <v>1</v>
      </c>
      <c r="F57"/>
      <c r="G57" t="s">
        <v>243</v>
      </c>
      <c r="H57"/>
      <c r="I57" t="s">
        <v>42</v>
      </c>
      <c r="J57"/>
      <c r="K57" t="s">
        <v>165</v>
      </c>
      <c r="L57"/>
      <c r="M57"/>
      <c r="N57">
        <v>35</v>
      </c>
      <c r="O57">
        <v>2</v>
      </c>
      <c r="P57"/>
      <c r="Q57">
        <v>4</v>
      </c>
      <c r="R57">
        <v>2</v>
      </c>
      <c r="S57">
        <v>5</v>
      </c>
      <c r="T57"/>
      <c r="U57"/>
      <c r="V57" t="s">
        <v>374</v>
      </c>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row>
    <row r="58" spans="1:63" ht="15">
      <c r="A58"/>
      <c r="B58"/>
      <c r="C58"/>
      <c r="D58">
        <v>26</v>
      </c>
      <c r="E58">
        <v>1</v>
      </c>
      <c r="F58"/>
      <c r="G58" t="s">
        <v>244</v>
      </c>
      <c r="H58"/>
      <c r="I58" t="s">
        <v>43</v>
      </c>
      <c r="J58"/>
      <c r="K58" t="s">
        <v>104</v>
      </c>
      <c r="L58"/>
      <c r="M58"/>
      <c r="N58"/>
      <c r="O58">
        <v>3</v>
      </c>
      <c r="P58"/>
      <c r="Q58"/>
      <c r="R58"/>
      <c r="S58"/>
      <c r="T58">
        <v>1</v>
      </c>
      <c r="U58"/>
      <c r="V58" t="s">
        <v>245</v>
      </c>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row>
    <row r="59" spans="1:63" ht="15">
      <c r="A59"/>
      <c r="B59"/>
      <c r="C59"/>
      <c r="D59">
        <v>27</v>
      </c>
      <c r="E59">
        <v>1</v>
      </c>
      <c r="F59"/>
      <c r="G59" t="s">
        <v>246</v>
      </c>
      <c r="H59"/>
      <c r="I59" t="s">
        <v>129</v>
      </c>
      <c r="J59"/>
      <c r="K59" t="s">
        <v>247</v>
      </c>
      <c r="L59"/>
      <c r="M59"/>
      <c r="N59"/>
      <c r="O59"/>
      <c r="P59"/>
      <c r="Q59"/>
      <c r="R59"/>
      <c r="S59"/>
      <c r="T59"/>
      <c r="U59"/>
      <c r="V59" t="s">
        <v>248</v>
      </c>
      <c r="W59" t="s">
        <v>473</v>
      </c>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row>
    <row r="60" spans="1:63" ht="15">
      <c r="A60"/>
      <c r="B60"/>
      <c r="C60"/>
      <c r="D60">
        <v>28</v>
      </c>
      <c r="E60">
        <v>1</v>
      </c>
      <c r="F60"/>
      <c r="G60" t="s">
        <v>249</v>
      </c>
      <c r="H60"/>
      <c r="I60" t="s">
        <v>42</v>
      </c>
      <c r="J60"/>
      <c r="K60" t="s">
        <v>250</v>
      </c>
      <c r="L60"/>
      <c r="M60"/>
      <c r="N60">
        <v>35</v>
      </c>
      <c r="O60">
        <v>3</v>
      </c>
      <c r="P60"/>
      <c r="Q60">
        <v>5</v>
      </c>
      <c r="R60">
        <v>2</v>
      </c>
      <c r="S60">
        <v>6</v>
      </c>
      <c r="T60"/>
      <c r="U60"/>
      <c r="V60" t="s">
        <v>251</v>
      </c>
      <c r="W60" t="s">
        <v>462</v>
      </c>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row>
    <row r="61" spans="1:63" ht="15">
      <c r="A61"/>
      <c r="B61"/>
      <c r="C61"/>
      <c r="D61">
        <v>29</v>
      </c>
      <c r="E61">
        <v>1</v>
      </c>
      <c r="F61"/>
      <c r="G61" t="s">
        <v>252</v>
      </c>
      <c r="H61"/>
      <c r="I61" t="s">
        <v>43</v>
      </c>
      <c r="J61"/>
      <c r="K61" t="s">
        <v>104</v>
      </c>
      <c r="L61"/>
      <c r="M61"/>
      <c r="N61"/>
      <c r="O61">
        <v>4</v>
      </c>
      <c r="P61"/>
      <c r="Q61"/>
      <c r="R61"/>
      <c r="S61"/>
      <c r="T61">
        <v>4</v>
      </c>
      <c r="U61"/>
      <c r="V61" t="s">
        <v>253</v>
      </c>
      <c r="W61" t="s">
        <v>474</v>
      </c>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row>
    <row r="62" spans="1:63" ht="15">
      <c r="A62"/>
      <c r="B62"/>
      <c r="C62"/>
      <c r="D62">
        <v>30</v>
      </c>
      <c r="E62">
        <v>1</v>
      </c>
      <c r="F62"/>
      <c r="G62" t="s">
        <v>254</v>
      </c>
      <c r="H62"/>
      <c r="I62" t="s">
        <v>129</v>
      </c>
      <c r="J62"/>
      <c r="K62"/>
      <c r="L62"/>
      <c r="M62"/>
      <c r="N62"/>
      <c r="O62"/>
      <c r="P62"/>
      <c r="Q62"/>
      <c r="R62"/>
      <c r="S62"/>
      <c r="T62"/>
      <c r="U62"/>
      <c r="V62" t="s">
        <v>255</v>
      </c>
      <c r="W62" t="s">
        <v>475</v>
      </c>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row>
    <row r="63" spans="1:63" ht="15">
      <c r="A63"/>
      <c r="B63"/>
      <c r="C63"/>
      <c r="D63">
        <v>31</v>
      </c>
      <c r="E63">
        <v>1</v>
      </c>
      <c r="F63"/>
      <c r="G63" t="s">
        <v>256</v>
      </c>
      <c r="H63"/>
      <c r="I63" t="s">
        <v>42</v>
      </c>
      <c r="J63"/>
      <c r="K63" t="s">
        <v>257</v>
      </c>
      <c r="L63"/>
      <c r="M63"/>
      <c r="N63">
        <v>11</v>
      </c>
      <c r="O63">
        <v>1</v>
      </c>
      <c r="P63"/>
      <c r="Q63">
        <v>2</v>
      </c>
      <c r="R63">
        <v>0</v>
      </c>
      <c r="S63">
        <v>2</v>
      </c>
      <c r="T63"/>
      <c r="U63"/>
      <c r="V63" t="s">
        <v>258</v>
      </c>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row>
    <row r="64" spans="1:63" ht="15">
      <c r="A64"/>
      <c r="B64"/>
      <c r="C64"/>
      <c r="D64">
        <v>32</v>
      </c>
      <c r="E64">
        <v>1</v>
      </c>
      <c r="F64"/>
      <c r="G64" t="s">
        <v>183</v>
      </c>
      <c r="H64" t="s">
        <v>35</v>
      </c>
      <c r="I64" t="s">
        <v>43</v>
      </c>
      <c r="J64"/>
      <c r="K64" t="s">
        <v>182</v>
      </c>
      <c r="L64"/>
      <c r="M64"/>
      <c r="N64"/>
      <c r="O64">
        <v>4</v>
      </c>
      <c r="P64"/>
      <c r="Q64"/>
      <c r="R64"/>
      <c r="S64"/>
      <c r="T64">
        <v>4</v>
      </c>
      <c r="U64"/>
      <c r="V64" t="s">
        <v>455</v>
      </c>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row>
    <row r="65" spans="1:63" ht="15">
      <c r="A65"/>
      <c r="B65"/>
      <c r="C65"/>
      <c r="D65">
        <v>33</v>
      </c>
      <c r="E65">
        <v>1</v>
      </c>
      <c r="F65"/>
      <c r="G65" t="s">
        <v>190</v>
      </c>
      <c r="H65"/>
      <c r="I65" t="s">
        <v>129</v>
      </c>
      <c r="J65"/>
      <c r="K65"/>
      <c r="L65"/>
      <c r="M65"/>
      <c r="N65"/>
      <c r="O65"/>
      <c r="P65"/>
      <c r="Q65"/>
      <c r="R65"/>
      <c r="S65"/>
      <c r="T65"/>
      <c r="U65"/>
      <c r="V65" t="s">
        <v>259</v>
      </c>
      <c r="W65" t="s">
        <v>476</v>
      </c>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row>
    <row r="66" spans="1:63" ht="15">
      <c r="A66"/>
      <c r="B66"/>
      <c r="C66"/>
      <c r="D66">
        <v>34</v>
      </c>
      <c r="E66">
        <v>1</v>
      </c>
      <c r="F66"/>
      <c r="G66" t="s">
        <v>260</v>
      </c>
      <c r="H66"/>
      <c r="I66" t="s">
        <v>42</v>
      </c>
      <c r="J66"/>
      <c r="K66" t="s">
        <v>228</v>
      </c>
      <c r="L66"/>
      <c r="M66"/>
      <c r="N66">
        <v>33</v>
      </c>
      <c r="O66">
        <v>1</v>
      </c>
      <c r="P66"/>
      <c r="Q66">
        <v>6</v>
      </c>
      <c r="R66">
        <v>2</v>
      </c>
      <c r="S66">
        <v>8</v>
      </c>
      <c r="T66"/>
      <c r="U66"/>
      <c r="V66" t="s">
        <v>261</v>
      </c>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row>
    <row r="67" spans="1:63" ht="15">
      <c r="A67"/>
      <c r="B67"/>
      <c r="C67"/>
      <c r="D67">
        <v>35</v>
      </c>
      <c r="E67">
        <v>1</v>
      </c>
      <c r="F67"/>
      <c r="G67" t="s">
        <v>262</v>
      </c>
      <c r="H67"/>
      <c r="I67" t="s">
        <v>43</v>
      </c>
      <c r="J67"/>
      <c r="K67" t="s">
        <v>263</v>
      </c>
      <c r="L67"/>
      <c r="M67"/>
      <c r="N67"/>
      <c r="O67">
        <v>3</v>
      </c>
      <c r="P67"/>
      <c r="Q67"/>
      <c r="R67"/>
      <c r="S67"/>
      <c r="T67">
        <v>5</v>
      </c>
      <c r="U67"/>
      <c r="V67" t="s">
        <v>425</v>
      </c>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row>
    <row r="68" spans="1:63" ht="15">
      <c r="A68"/>
      <c r="B68"/>
      <c r="C68"/>
      <c r="D68">
        <v>36</v>
      </c>
      <c r="E68">
        <v>1</v>
      </c>
      <c r="F68"/>
      <c r="G68" t="s">
        <v>264</v>
      </c>
      <c r="H68"/>
      <c r="I68" t="s">
        <v>129</v>
      </c>
      <c r="J68"/>
      <c r="K68"/>
      <c r="L68"/>
      <c r="M68"/>
      <c r="N68"/>
      <c r="O68"/>
      <c r="P68"/>
      <c r="Q68"/>
      <c r="R68"/>
      <c r="S68"/>
      <c r="T68"/>
      <c r="U68"/>
      <c r="V68" t="s">
        <v>379</v>
      </c>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row>
    <row r="69" spans="1:63" ht="15">
      <c r="A69"/>
      <c r="B69"/>
      <c r="C69"/>
      <c r="D69">
        <v>37</v>
      </c>
      <c r="E69">
        <v>1</v>
      </c>
      <c r="F69"/>
      <c r="G69" t="s">
        <v>265</v>
      </c>
      <c r="H69"/>
      <c r="I69" t="s">
        <v>42</v>
      </c>
      <c r="J69"/>
      <c r="K69" t="s">
        <v>242</v>
      </c>
      <c r="L69"/>
      <c r="M69"/>
      <c r="N69">
        <v>32</v>
      </c>
      <c r="O69">
        <v>2</v>
      </c>
      <c r="P69"/>
      <c r="Q69">
        <v>3</v>
      </c>
      <c r="R69">
        <v>2</v>
      </c>
      <c r="S69">
        <v>4</v>
      </c>
      <c r="T69"/>
      <c r="U69"/>
      <c r="V69" t="s">
        <v>369</v>
      </c>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row>
    <row r="70" spans="1:63" ht="15">
      <c r="A70"/>
      <c r="B70"/>
      <c r="C70"/>
      <c r="D70">
        <v>38</v>
      </c>
      <c r="E70">
        <v>1</v>
      </c>
      <c r="F70"/>
      <c r="G70" t="s">
        <v>266</v>
      </c>
      <c r="H70"/>
      <c r="I70" t="s">
        <v>43</v>
      </c>
      <c r="J70"/>
      <c r="K70" t="s">
        <v>239</v>
      </c>
      <c r="L70"/>
      <c r="M70"/>
      <c r="N70"/>
      <c r="O70">
        <v>3</v>
      </c>
      <c r="P70"/>
      <c r="Q70"/>
      <c r="R70"/>
      <c r="S70"/>
      <c r="T70">
        <v>4</v>
      </c>
      <c r="U70"/>
      <c r="V70" t="s">
        <v>380</v>
      </c>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row>
    <row r="71" spans="1:63" ht="15">
      <c r="A71"/>
      <c r="B71"/>
      <c r="C71"/>
      <c r="D71">
        <v>39</v>
      </c>
      <c r="E71">
        <v>1</v>
      </c>
      <c r="F71"/>
      <c r="G71" t="s">
        <v>267</v>
      </c>
      <c r="H71"/>
      <c r="I71" t="s">
        <v>129</v>
      </c>
      <c r="J71"/>
      <c r="K71"/>
      <c r="L71"/>
      <c r="M71"/>
      <c r="N71"/>
      <c r="O71"/>
      <c r="P71"/>
      <c r="Q71"/>
      <c r="R71"/>
      <c r="S71"/>
      <c r="T71"/>
      <c r="U71"/>
      <c r="V71" t="s">
        <v>268</v>
      </c>
      <c r="W71" t="s">
        <v>477</v>
      </c>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row>
    <row r="72" spans="1:63" ht="15">
      <c r="A72"/>
      <c r="B72"/>
      <c r="C72"/>
      <c r="D72">
        <v>40</v>
      </c>
      <c r="E72">
        <v>1</v>
      </c>
      <c r="F72"/>
      <c r="G72" t="s">
        <v>269</v>
      </c>
      <c r="H72"/>
      <c r="I72" t="s">
        <v>42</v>
      </c>
      <c r="J72"/>
      <c r="K72" t="s">
        <v>165</v>
      </c>
      <c r="L72"/>
      <c r="M72"/>
      <c r="N72">
        <v>24</v>
      </c>
      <c r="O72">
        <v>2</v>
      </c>
      <c r="P72"/>
      <c r="Q72">
        <v>3</v>
      </c>
      <c r="R72">
        <v>1</v>
      </c>
      <c r="S72">
        <v>4</v>
      </c>
      <c r="T72"/>
      <c r="U72"/>
      <c r="V72" t="s">
        <v>270</v>
      </c>
      <c r="W72" t="s">
        <v>478</v>
      </c>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row>
    <row r="73" spans="1:63" ht="15">
      <c r="A73"/>
      <c r="B73"/>
      <c r="C73"/>
      <c r="D73">
        <v>41</v>
      </c>
      <c r="E73">
        <v>1</v>
      </c>
      <c r="F73"/>
      <c r="G73" t="s">
        <v>184</v>
      </c>
      <c r="H73"/>
      <c r="I73" t="s">
        <v>43</v>
      </c>
      <c r="J73"/>
      <c r="K73" t="s">
        <v>271</v>
      </c>
      <c r="L73"/>
      <c r="M73"/>
      <c r="N73"/>
      <c r="O73">
        <v>3</v>
      </c>
      <c r="P73"/>
      <c r="Q73"/>
      <c r="R73"/>
      <c r="S73"/>
      <c r="T73">
        <v>3</v>
      </c>
      <c r="U73"/>
      <c r="V73" t="s">
        <v>381</v>
      </c>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row>
    <row r="74" spans="1:63" ht="15">
      <c r="A74"/>
      <c r="B74"/>
      <c r="C74"/>
      <c r="D74">
        <v>42</v>
      </c>
      <c r="E74">
        <v>1</v>
      </c>
      <c r="F74"/>
      <c r="G74" t="s">
        <v>272</v>
      </c>
      <c r="H74"/>
      <c r="I74" t="s">
        <v>129</v>
      </c>
      <c r="J74"/>
      <c r="K74"/>
      <c r="L74"/>
      <c r="M74"/>
      <c r="N74"/>
      <c r="O74"/>
      <c r="P74"/>
      <c r="Q74"/>
      <c r="R74"/>
      <c r="S74"/>
      <c r="T74"/>
      <c r="U74"/>
      <c r="V74" t="s">
        <v>273</v>
      </c>
      <c r="W74" t="s">
        <v>479</v>
      </c>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row>
    <row r="75" spans="1:63" ht="15">
      <c r="A75"/>
      <c r="B75"/>
      <c r="C75"/>
      <c r="D75">
        <v>43</v>
      </c>
      <c r="E75">
        <v>1</v>
      </c>
      <c r="F75"/>
      <c r="G75" t="s">
        <v>274</v>
      </c>
      <c r="H75"/>
      <c r="I75" t="s">
        <v>42</v>
      </c>
      <c r="J75"/>
      <c r="K75" t="s">
        <v>250</v>
      </c>
      <c r="L75"/>
      <c r="M75"/>
      <c r="N75">
        <v>34</v>
      </c>
      <c r="O75">
        <v>3</v>
      </c>
      <c r="P75"/>
      <c r="Q75">
        <v>4</v>
      </c>
      <c r="R75">
        <v>2</v>
      </c>
      <c r="S75">
        <v>5</v>
      </c>
      <c r="T75"/>
      <c r="U75"/>
      <c r="V75" t="s">
        <v>275</v>
      </c>
      <c r="W75" t="s">
        <v>480</v>
      </c>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row>
    <row r="76" spans="1:63" ht="15">
      <c r="A76"/>
      <c r="B76"/>
      <c r="C76"/>
      <c r="D76">
        <v>44</v>
      </c>
      <c r="E76">
        <v>1</v>
      </c>
      <c r="F76"/>
      <c r="G76" t="s">
        <v>276</v>
      </c>
      <c r="H76"/>
      <c r="I76" t="s">
        <v>43</v>
      </c>
      <c r="J76"/>
      <c r="K76" t="s">
        <v>104</v>
      </c>
      <c r="L76"/>
      <c r="M76"/>
      <c r="N76"/>
      <c r="O76">
        <v>1</v>
      </c>
      <c r="P76"/>
      <c r="Q76"/>
      <c r="R76"/>
      <c r="S76"/>
      <c r="T76">
        <v>5</v>
      </c>
      <c r="U76"/>
      <c r="V76" t="s">
        <v>277</v>
      </c>
      <c r="W76" t="s">
        <v>481</v>
      </c>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row>
    <row r="77" spans="1:63" ht="15">
      <c r="A77"/>
      <c r="B77"/>
      <c r="C77"/>
      <c r="D77">
        <v>45</v>
      </c>
      <c r="E77">
        <v>1</v>
      </c>
      <c r="F77"/>
      <c r="G77" t="s">
        <v>278</v>
      </c>
      <c r="H77"/>
      <c r="I77" t="s">
        <v>129</v>
      </c>
      <c r="J77"/>
      <c r="K77"/>
      <c r="L77" t="s">
        <v>191</v>
      </c>
      <c r="M77"/>
      <c r="N77"/>
      <c r="O77"/>
      <c r="P77"/>
      <c r="Q77"/>
      <c r="R77"/>
      <c r="S77"/>
      <c r="T77"/>
      <c r="U77"/>
      <c r="V77" t="s">
        <v>382</v>
      </c>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row>
    <row r="78" spans="1:63" ht="15">
      <c r="A78"/>
      <c r="B78"/>
      <c r="C78"/>
      <c r="D78">
        <v>46</v>
      </c>
      <c r="E78">
        <v>1</v>
      </c>
      <c r="F78"/>
      <c r="G78" t="s">
        <v>279</v>
      </c>
      <c r="H78"/>
      <c r="I78" t="s">
        <v>42</v>
      </c>
      <c r="J78"/>
      <c r="K78" t="s">
        <v>250</v>
      </c>
      <c r="L78"/>
      <c r="M78"/>
      <c r="N78">
        <v>28</v>
      </c>
      <c r="O78">
        <v>2</v>
      </c>
      <c r="P78"/>
      <c r="Q78">
        <v>3</v>
      </c>
      <c r="R78">
        <v>2</v>
      </c>
      <c r="S78">
        <v>4</v>
      </c>
      <c r="T78"/>
      <c r="U78"/>
      <c r="V78" t="s">
        <v>280</v>
      </c>
      <c r="W78" t="s">
        <v>464</v>
      </c>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row>
    <row r="79" spans="1:63" ht="15">
      <c r="A79"/>
      <c r="B79"/>
      <c r="C79"/>
      <c r="D79">
        <v>47</v>
      </c>
      <c r="E79">
        <v>1</v>
      </c>
      <c r="F79"/>
      <c r="G79" t="s">
        <v>281</v>
      </c>
      <c r="H79"/>
      <c r="I79" t="s">
        <v>43</v>
      </c>
      <c r="J79"/>
      <c r="K79" t="s">
        <v>104</v>
      </c>
      <c r="L79"/>
      <c r="M79"/>
      <c r="N79"/>
      <c r="O79">
        <v>2</v>
      </c>
      <c r="P79"/>
      <c r="Q79"/>
      <c r="R79"/>
      <c r="S79"/>
      <c r="T79">
        <v>3</v>
      </c>
      <c r="U79"/>
      <c r="V79" t="s">
        <v>282</v>
      </c>
      <c r="W79" t="s">
        <v>482</v>
      </c>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row>
    <row r="80" spans="1:63" ht="15">
      <c r="A80"/>
      <c r="B80"/>
      <c r="C80"/>
      <c r="D80">
        <v>48</v>
      </c>
      <c r="E80">
        <v>1</v>
      </c>
      <c r="F80"/>
      <c r="G80" t="s">
        <v>196</v>
      </c>
      <c r="H80"/>
      <c r="I80" t="s">
        <v>129</v>
      </c>
      <c r="J80"/>
      <c r="K80"/>
      <c r="L80"/>
      <c r="M80"/>
      <c r="N80"/>
      <c r="O80"/>
      <c r="P80"/>
      <c r="Q80"/>
      <c r="R80"/>
      <c r="S80"/>
      <c r="T80"/>
      <c r="U80"/>
      <c r="V80" t="s">
        <v>283</v>
      </c>
      <c r="W80" t="s">
        <v>483</v>
      </c>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row>
    <row r="81" spans="1:63" ht="15">
      <c r="A81"/>
      <c r="B81"/>
      <c r="C81"/>
      <c r="D81">
        <v>49</v>
      </c>
      <c r="E81">
        <v>1</v>
      </c>
      <c r="F81"/>
      <c r="G81" t="s">
        <v>284</v>
      </c>
      <c r="H81"/>
      <c r="I81" t="s">
        <v>42</v>
      </c>
      <c r="J81"/>
      <c r="K81" t="s">
        <v>257</v>
      </c>
      <c r="L81"/>
      <c r="M81"/>
      <c r="N81">
        <v>20</v>
      </c>
      <c r="O81">
        <v>2</v>
      </c>
      <c r="P81"/>
      <c r="Q81">
        <v>3</v>
      </c>
      <c r="R81">
        <v>1</v>
      </c>
      <c r="S81">
        <v>2</v>
      </c>
      <c r="T81"/>
      <c r="U81"/>
      <c r="V81" t="s">
        <v>285</v>
      </c>
      <c r="W81" t="s">
        <v>484</v>
      </c>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row>
    <row r="82" spans="1:63" ht="15">
      <c r="A82"/>
      <c r="B82"/>
      <c r="C82"/>
      <c r="D82">
        <v>50</v>
      </c>
      <c r="E82">
        <v>1</v>
      </c>
      <c r="F82"/>
      <c r="G82" t="s">
        <v>286</v>
      </c>
      <c r="H82"/>
      <c r="I82" t="s">
        <v>43</v>
      </c>
      <c r="J82"/>
      <c r="K82" t="s">
        <v>287</v>
      </c>
      <c r="L82"/>
      <c r="M82"/>
      <c r="N82"/>
      <c r="O82">
        <v>2</v>
      </c>
      <c r="P82"/>
      <c r="Q82"/>
      <c r="R82"/>
      <c r="S82"/>
      <c r="T82">
        <v>5</v>
      </c>
      <c r="U82"/>
      <c r="V82" t="s">
        <v>383</v>
      </c>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row>
    <row r="83" spans="1:63" ht="15">
      <c r="A83"/>
      <c r="B83"/>
      <c r="C83"/>
      <c r="D83">
        <v>51</v>
      </c>
      <c r="E83">
        <v>1</v>
      </c>
      <c r="F83"/>
      <c r="G83" t="s">
        <v>288</v>
      </c>
      <c r="H83"/>
      <c r="I83" t="s">
        <v>129</v>
      </c>
      <c r="J83"/>
      <c r="K83" t="s">
        <v>247</v>
      </c>
      <c r="L83"/>
      <c r="M83"/>
      <c r="N83"/>
      <c r="O83"/>
      <c r="P83"/>
      <c r="Q83"/>
      <c r="R83"/>
      <c r="S83"/>
      <c r="T83"/>
      <c r="U83"/>
      <c r="V83" t="s">
        <v>289</v>
      </c>
      <c r="W83" t="s">
        <v>485</v>
      </c>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row>
    <row r="84" spans="1:63" ht="15">
      <c r="A84"/>
      <c r="B84"/>
      <c r="C84"/>
      <c r="D84">
        <v>52</v>
      </c>
      <c r="E84">
        <v>1</v>
      </c>
      <c r="F84"/>
      <c r="G84" t="s">
        <v>290</v>
      </c>
      <c r="H84"/>
      <c r="I84" t="s">
        <v>42</v>
      </c>
      <c r="J84"/>
      <c r="K84" t="s">
        <v>242</v>
      </c>
      <c r="L84"/>
      <c r="M84"/>
      <c r="N84">
        <v>23</v>
      </c>
      <c r="O84">
        <v>1</v>
      </c>
      <c r="P84"/>
      <c r="Q84">
        <v>2</v>
      </c>
      <c r="R84">
        <v>1</v>
      </c>
      <c r="S84">
        <v>3</v>
      </c>
      <c r="T84"/>
      <c r="U84"/>
      <c r="V84" t="s">
        <v>291</v>
      </c>
      <c r="W84" t="s">
        <v>486</v>
      </c>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row>
    <row r="85" spans="1:63" ht="15">
      <c r="A85"/>
      <c r="B85"/>
      <c r="C85"/>
      <c r="D85">
        <v>53</v>
      </c>
      <c r="E85">
        <v>1</v>
      </c>
      <c r="F85"/>
      <c r="G85" t="s">
        <v>292</v>
      </c>
      <c r="H85" t="s">
        <v>35</v>
      </c>
      <c r="I85" t="s">
        <v>43</v>
      </c>
      <c r="J85"/>
      <c r="K85" t="s">
        <v>104</v>
      </c>
      <c r="L85"/>
      <c r="M85"/>
      <c r="N85"/>
      <c r="O85">
        <v>3</v>
      </c>
      <c r="P85"/>
      <c r="Q85"/>
      <c r="R85"/>
      <c r="S85"/>
      <c r="T85">
        <v>5</v>
      </c>
      <c r="U85"/>
      <c r="V85" t="s">
        <v>416</v>
      </c>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row>
    <row r="86" spans="1:63" ht="15">
      <c r="A86"/>
      <c r="B86"/>
      <c r="C86"/>
      <c r="D86">
        <v>54</v>
      </c>
      <c r="E86">
        <v>1</v>
      </c>
      <c r="F86"/>
      <c r="G86" t="s">
        <v>293</v>
      </c>
      <c r="H86"/>
      <c r="I86" t="s">
        <v>129</v>
      </c>
      <c r="J86"/>
      <c r="K86"/>
      <c r="L86"/>
      <c r="M86"/>
      <c r="N86"/>
      <c r="O86"/>
      <c r="P86"/>
      <c r="Q86"/>
      <c r="R86"/>
      <c r="S86"/>
      <c r="T86"/>
      <c r="U86"/>
      <c r="V86" t="s">
        <v>294</v>
      </c>
      <c r="W86" t="s">
        <v>487</v>
      </c>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row>
    <row r="87" spans="1:63" ht="1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row>
    <row r="88" spans="1:63" ht="15">
      <c r="A88"/>
      <c r="B88"/>
      <c r="C88"/>
      <c r="D88">
        <v>1</v>
      </c>
      <c r="E88">
        <v>1</v>
      </c>
      <c r="F88" t="s">
        <v>295</v>
      </c>
      <c r="G88" t="s">
        <v>296</v>
      </c>
      <c r="H88"/>
      <c r="I88" t="s">
        <v>44</v>
      </c>
      <c r="J88"/>
      <c r="K88"/>
      <c r="L88"/>
      <c r="M88">
        <v>1</v>
      </c>
      <c r="N88" t="s">
        <v>213</v>
      </c>
      <c r="O88"/>
      <c r="P88"/>
      <c r="Q88"/>
      <c r="R88"/>
      <c r="S88"/>
      <c r="T88"/>
      <c r="U88"/>
      <c r="V88" t="s">
        <v>297</v>
      </c>
      <c r="W88"/>
      <c r="X88"/>
      <c r="Y88" t="s">
        <v>296</v>
      </c>
      <c r="Z88"/>
      <c r="AA88" t="s">
        <v>44</v>
      </c>
      <c r="AB88"/>
      <c r="AC88"/>
      <c r="AD88"/>
      <c r="AE88">
        <v>1</v>
      </c>
      <c r="AF88" t="s">
        <v>45</v>
      </c>
      <c r="AG88"/>
      <c r="AH88"/>
      <c r="AI88"/>
      <c r="AJ88"/>
      <c r="AK88"/>
      <c r="AL88">
        <v>10</v>
      </c>
      <c r="AM88"/>
      <c r="AN88" t="s">
        <v>426</v>
      </c>
      <c r="AO88"/>
      <c r="AP88"/>
      <c r="AQ88"/>
      <c r="AR88"/>
      <c r="AS88"/>
      <c r="AT88"/>
      <c r="AU88"/>
      <c r="AV88"/>
      <c r="AW88"/>
      <c r="AX88"/>
      <c r="AY88"/>
      <c r="AZ88"/>
      <c r="BA88"/>
      <c r="BB88"/>
      <c r="BC88"/>
      <c r="BD88"/>
      <c r="BE88"/>
      <c r="BF88"/>
      <c r="BG88"/>
      <c r="BH88"/>
      <c r="BI88"/>
      <c r="BJ88"/>
      <c r="BK88"/>
    </row>
    <row r="89" spans="1:63" ht="15">
      <c r="A89"/>
      <c r="B89"/>
      <c r="C89"/>
      <c r="D89">
        <v>3</v>
      </c>
      <c r="E89">
        <v>1</v>
      </c>
      <c r="F89" t="s">
        <v>295</v>
      </c>
      <c r="G89" t="s">
        <v>298</v>
      </c>
      <c r="H89"/>
      <c r="I89" t="s">
        <v>44</v>
      </c>
      <c r="J89"/>
      <c r="K89"/>
      <c r="L89"/>
      <c r="M89">
        <v>2</v>
      </c>
      <c r="N89" t="s">
        <v>213</v>
      </c>
      <c r="O89"/>
      <c r="P89"/>
      <c r="Q89"/>
      <c r="R89"/>
      <c r="S89"/>
      <c r="T89"/>
      <c r="U89"/>
      <c r="V89" t="s">
        <v>456</v>
      </c>
      <c r="W89"/>
      <c r="X89"/>
      <c r="Y89" t="s">
        <v>298</v>
      </c>
      <c r="Z89"/>
      <c r="AA89" t="s">
        <v>44</v>
      </c>
      <c r="AB89"/>
      <c r="AC89"/>
      <c r="AD89"/>
      <c r="AE89">
        <v>2</v>
      </c>
      <c r="AF89" t="s">
        <v>45</v>
      </c>
      <c r="AG89"/>
      <c r="AH89"/>
      <c r="AI89"/>
      <c r="AJ89"/>
      <c r="AK89"/>
      <c r="AL89">
        <v>20</v>
      </c>
      <c r="AM89"/>
      <c r="AN89" t="s">
        <v>457</v>
      </c>
      <c r="AO89"/>
      <c r="AP89"/>
      <c r="AQ89"/>
      <c r="AR89"/>
      <c r="AS89"/>
      <c r="AT89"/>
      <c r="AU89"/>
      <c r="AV89"/>
      <c r="AW89"/>
      <c r="AX89"/>
      <c r="AY89"/>
      <c r="AZ89"/>
      <c r="BA89"/>
      <c r="BB89"/>
      <c r="BC89"/>
      <c r="BD89"/>
      <c r="BE89"/>
      <c r="BF89"/>
      <c r="BG89"/>
      <c r="BH89"/>
      <c r="BI89"/>
      <c r="BJ89"/>
      <c r="BK89"/>
    </row>
    <row r="90" spans="1:63" ht="15">
      <c r="A90"/>
      <c r="B90"/>
      <c r="C90"/>
      <c r="D90">
        <v>4</v>
      </c>
      <c r="E90">
        <v>1</v>
      </c>
      <c r="F90" t="s">
        <v>295</v>
      </c>
      <c r="G90" t="s">
        <v>298</v>
      </c>
      <c r="H90"/>
      <c r="I90" t="s">
        <v>44</v>
      </c>
      <c r="J90"/>
      <c r="K90"/>
      <c r="L90"/>
      <c r="M90">
        <v>2</v>
      </c>
      <c r="N90" t="s">
        <v>213</v>
      </c>
      <c r="O90"/>
      <c r="P90"/>
      <c r="Q90"/>
      <c r="R90"/>
      <c r="S90"/>
      <c r="T90"/>
      <c r="U90"/>
      <c r="V90" t="s">
        <v>456</v>
      </c>
      <c r="W90"/>
      <c r="X90"/>
      <c r="Y90" t="s">
        <v>298</v>
      </c>
      <c r="Z90"/>
      <c r="AA90" t="s">
        <v>44</v>
      </c>
      <c r="AB90"/>
      <c r="AC90"/>
      <c r="AD90"/>
      <c r="AE90">
        <v>2</v>
      </c>
      <c r="AF90" t="s">
        <v>45</v>
      </c>
      <c r="AG90"/>
      <c r="AH90"/>
      <c r="AI90"/>
      <c r="AJ90"/>
      <c r="AK90"/>
      <c r="AL90">
        <v>20</v>
      </c>
      <c r="AM90"/>
      <c r="AN90" t="s">
        <v>447</v>
      </c>
      <c r="AO90"/>
      <c r="AP90"/>
      <c r="AQ90"/>
      <c r="AR90"/>
      <c r="AS90"/>
      <c r="AT90"/>
      <c r="AU90"/>
      <c r="AV90"/>
      <c r="AW90"/>
      <c r="AX90"/>
      <c r="AY90"/>
      <c r="AZ90"/>
      <c r="BA90"/>
      <c r="BB90"/>
      <c r="BC90"/>
      <c r="BD90"/>
      <c r="BE90"/>
      <c r="BF90"/>
      <c r="BG90"/>
      <c r="BH90"/>
      <c r="BI90"/>
      <c r="BJ90"/>
      <c r="BK90"/>
    </row>
    <row r="91" spans="1:63" ht="15">
      <c r="A91"/>
      <c r="B91"/>
      <c r="C91"/>
      <c r="D91">
        <v>5</v>
      </c>
      <c r="E91">
        <v>1</v>
      </c>
      <c r="F91" t="s">
        <v>295</v>
      </c>
      <c r="G91" t="s">
        <v>298</v>
      </c>
      <c r="H91"/>
      <c r="I91" t="s">
        <v>44</v>
      </c>
      <c r="J91"/>
      <c r="K91"/>
      <c r="L91"/>
      <c r="M91">
        <v>2</v>
      </c>
      <c r="N91" t="s">
        <v>213</v>
      </c>
      <c r="O91"/>
      <c r="P91"/>
      <c r="Q91"/>
      <c r="R91"/>
      <c r="S91"/>
      <c r="T91"/>
      <c r="U91"/>
      <c r="V91" t="s">
        <v>456</v>
      </c>
      <c r="W91"/>
      <c r="X91"/>
      <c r="Y91" t="s">
        <v>298</v>
      </c>
      <c r="Z91"/>
      <c r="AA91" t="s">
        <v>44</v>
      </c>
      <c r="AB91"/>
      <c r="AC91"/>
      <c r="AD91"/>
      <c r="AE91">
        <v>2</v>
      </c>
      <c r="AF91" t="s">
        <v>45</v>
      </c>
      <c r="AG91"/>
      <c r="AH91"/>
      <c r="AI91"/>
      <c r="AJ91"/>
      <c r="AK91"/>
      <c r="AL91">
        <v>20</v>
      </c>
      <c r="AM91"/>
      <c r="AN91" t="s">
        <v>448</v>
      </c>
      <c r="AO91"/>
      <c r="AP91"/>
      <c r="AQ91"/>
      <c r="AR91"/>
      <c r="AS91"/>
      <c r="AT91"/>
      <c r="AU91"/>
      <c r="AV91"/>
      <c r="AW91"/>
      <c r="AX91"/>
      <c r="AY91"/>
      <c r="AZ91"/>
      <c r="BA91"/>
      <c r="BB91"/>
      <c r="BC91"/>
      <c r="BD91"/>
      <c r="BE91"/>
      <c r="BF91"/>
      <c r="BG91"/>
      <c r="BH91"/>
      <c r="BI91"/>
      <c r="BJ91"/>
      <c r="BK91"/>
    </row>
    <row r="92" spans="1:63" ht="15">
      <c r="A92"/>
      <c r="B92"/>
      <c r="C92"/>
      <c r="D92">
        <v>7</v>
      </c>
      <c r="E92">
        <v>1</v>
      </c>
      <c r="F92" t="s">
        <v>295</v>
      </c>
      <c r="G92" t="s">
        <v>299</v>
      </c>
      <c r="H92"/>
      <c r="I92" t="s">
        <v>44</v>
      </c>
      <c r="J92"/>
      <c r="K92"/>
      <c r="L92"/>
      <c r="M92">
        <v>3</v>
      </c>
      <c r="N92" t="s">
        <v>213</v>
      </c>
      <c r="O92"/>
      <c r="P92"/>
      <c r="Q92"/>
      <c r="R92"/>
      <c r="S92"/>
      <c r="T92"/>
      <c r="U92"/>
      <c r="V92" t="s">
        <v>458</v>
      </c>
      <c r="W92"/>
      <c r="X92"/>
      <c r="Y92" t="s">
        <v>299</v>
      </c>
      <c r="Z92"/>
      <c r="AA92" t="s">
        <v>44</v>
      </c>
      <c r="AB92"/>
      <c r="AC92"/>
      <c r="AD92"/>
      <c r="AE92">
        <v>3</v>
      </c>
      <c r="AF92" t="s">
        <v>45</v>
      </c>
      <c r="AG92"/>
      <c r="AH92"/>
      <c r="AI92"/>
      <c r="AJ92"/>
      <c r="AK92"/>
      <c r="AL92">
        <v>15</v>
      </c>
      <c r="AM92"/>
      <c r="AN92" t="s">
        <v>449</v>
      </c>
      <c r="AO92"/>
      <c r="AP92"/>
      <c r="AQ92"/>
      <c r="AR92"/>
      <c r="AS92"/>
      <c r="AT92"/>
      <c r="AU92"/>
      <c r="AV92"/>
      <c r="AW92"/>
      <c r="AX92"/>
      <c r="AY92"/>
      <c r="AZ92"/>
      <c r="BA92"/>
      <c r="BB92"/>
      <c r="BC92"/>
      <c r="BD92"/>
      <c r="BE92"/>
      <c r="BF92"/>
      <c r="BG92"/>
      <c r="BH92"/>
      <c r="BI92"/>
      <c r="BJ92"/>
      <c r="BK92"/>
    </row>
    <row r="93" spans="1:63" ht="15">
      <c r="A93"/>
      <c r="B93"/>
      <c r="C93"/>
      <c r="D93">
        <v>8</v>
      </c>
      <c r="E93">
        <v>1</v>
      </c>
      <c r="F93" t="s">
        <v>295</v>
      </c>
      <c r="G93" t="s">
        <v>299</v>
      </c>
      <c r="H93"/>
      <c r="I93" t="s">
        <v>44</v>
      </c>
      <c r="J93"/>
      <c r="K93"/>
      <c r="L93"/>
      <c r="M93">
        <v>3</v>
      </c>
      <c r="N93" t="s">
        <v>213</v>
      </c>
      <c r="O93"/>
      <c r="P93"/>
      <c r="Q93"/>
      <c r="R93"/>
      <c r="S93"/>
      <c r="T93"/>
      <c r="U93"/>
      <c r="V93" t="s">
        <v>458</v>
      </c>
      <c r="W93"/>
      <c r="X93"/>
      <c r="Y93" t="s">
        <v>299</v>
      </c>
      <c r="Z93"/>
      <c r="AA93" t="s">
        <v>44</v>
      </c>
      <c r="AB93"/>
      <c r="AC93"/>
      <c r="AD93"/>
      <c r="AE93">
        <v>3</v>
      </c>
      <c r="AF93" t="s">
        <v>45</v>
      </c>
      <c r="AG93"/>
      <c r="AH93"/>
      <c r="AI93"/>
      <c r="AJ93"/>
      <c r="AK93"/>
      <c r="AL93" t="s">
        <v>167</v>
      </c>
      <c r="AM93"/>
      <c r="AN93" t="s">
        <v>450</v>
      </c>
    </row>
    <row r="94" spans="1:63" ht="15">
      <c r="A94"/>
      <c r="B94"/>
      <c r="C94"/>
      <c r="D94">
        <v>9</v>
      </c>
      <c r="E94">
        <v>1</v>
      </c>
      <c r="F94" t="s">
        <v>295</v>
      </c>
      <c r="G94" t="s">
        <v>299</v>
      </c>
      <c r="H94"/>
      <c r="I94" t="s">
        <v>44</v>
      </c>
      <c r="J94"/>
      <c r="K94"/>
      <c r="L94"/>
      <c r="M94">
        <v>3</v>
      </c>
      <c r="N94" t="s">
        <v>213</v>
      </c>
      <c r="O94"/>
      <c r="P94"/>
      <c r="Q94"/>
      <c r="R94"/>
      <c r="S94"/>
      <c r="T94"/>
      <c r="U94"/>
      <c r="V94" t="s">
        <v>458</v>
      </c>
      <c r="W94"/>
      <c r="X94"/>
      <c r="Y94" t="s">
        <v>299</v>
      </c>
      <c r="Z94"/>
      <c r="AA94" t="s">
        <v>44</v>
      </c>
      <c r="AB94"/>
      <c r="AC94"/>
      <c r="AD94"/>
      <c r="AE94">
        <v>3</v>
      </c>
      <c r="AF94" t="s">
        <v>45</v>
      </c>
      <c r="AG94"/>
      <c r="AH94"/>
      <c r="AI94"/>
      <c r="AJ94"/>
      <c r="AK94"/>
      <c r="AL94">
        <v>20</v>
      </c>
      <c r="AM94"/>
      <c r="AN94" t="s">
        <v>451</v>
      </c>
    </row>
    <row r="95" spans="1:63" ht="15">
      <c r="A95"/>
      <c r="B95"/>
      <c r="C95"/>
      <c r="D95">
        <v>10</v>
      </c>
      <c r="E95">
        <v>1</v>
      </c>
      <c r="F95" t="s">
        <v>295</v>
      </c>
      <c r="G95" t="s">
        <v>300</v>
      </c>
      <c r="H95" t="s">
        <v>35</v>
      </c>
      <c r="I95" t="s">
        <v>43</v>
      </c>
      <c r="J95"/>
      <c r="K95" t="s">
        <v>104</v>
      </c>
      <c r="L95"/>
      <c r="M95"/>
      <c r="N95"/>
      <c r="O95">
        <v>1</v>
      </c>
      <c r="P95"/>
      <c r="Q95"/>
      <c r="R95"/>
      <c r="S95"/>
      <c r="T95">
        <v>1</v>
      </c>
      <c r="U95"/>
      <c r="V95" t="s">
        <v>427</v>
      </c>
      <c r="W95"/>
      <c r="X95"/>
      <c r="Y95"/>
      <c r="Z95"/>
      <c r="AA95"/>
      <c r="AB95"/>
      <c r="AC95"/>
      <c r="AD95"/>
      <c r="AE95"/>
      <c r="AF95"/>
      <c r="AG95"/>
      <c r="AH95"/>
      <c r="AI95"/>
      <c r="AJ95"/>
      <c r="AK95"/>
      <c r="AL95"/>
      <c r="AM95"/>
      <c r="AN95"/>
    </row>
    <row r="96" spans="1:63" ht="15">
      <c r="A96"/>
      <c r="B96"/>
      <c r="C96"/>
      <c r="D96">
        <v>11</v>
      </c>
      <c r="E96">
        <v>1</v>
      </c>
      <c r="F96" t="s">
        <v>295</v>
      </c>
      <c r="G96" t="s">
        <v>301</v>
      </c>
      <c r="H96" t="s">
        <v>35</v>
      </c>
      <c r="I96" t="s">
        <v>201</v>
      </c>
      <c r="J96"/>
      <c r="K96" t="s">
        <v>302</v>
      </c>
      <c r="L96" t="s">
        <v>153</v>
      </c>
      <c r="M96"/>
      <c r="N96"/>
      <c r="O96"/>
      <c r="P96">
        <v>2</v>
      </c>
      <c r="Q96">
        <v>2</v>
      </c>
      <c r="R96">
        <v>2</v>
      </c>
      <c r="S96">
        <v>5</v>
      </c>
      <c r="T96"/>
      <c r="U96"/>
      <c r="V96" t="s">
        <v>303</v>
      </c>
      <c r="W96"/>
      <c r="X96"/>
      <c r="Y96"/>
      <c r="Z96"/>
      <c r="AA96"/>
      <c r="AB96"/>
      <c r="AC96"/>
      <c r="AD96"/>
      <c r="AE96"/>
      <c r="AF96"/>
      <c r="AG96"/>
      <c r="AH96"/>
      <c r="AI96"/>
      <c r="AJ96"/>
      <c r="AK96"/>
      <c r="AL96"/>
      <c r="AM96"/>
      <c r="AN96"/>
    </row>
    <row r="97" spans="1:40" ht="15">
      <c r="A97"/>
      <c r="B97"/>
      <c r="C97"/>
      <c r="D97">
        <v>12</v>
      </c>
      <c r="E97">
        <v>1</v>
      </c>
      <c r="F97"/>
      <c r="G97" t="s">
        <v>88</v>
      </c>
      <c r="H97" t="s">
        <v>35</v>
      </c>
      <c r="I97" t="s">
        <v>42</v>
      </c>
      <c r="J97"/>
      <c r="K97" t="s">
        <v>250</v>
      </c>
      <c r="L97"/>
      <c r="M97"/>
      <c r="N97">
        <v>38</v>
      </c>
      <c r="O97">
        <v>3</v>
      </c>
      <c r="P97"/>
      <c r="Q97">
        <v>6</v>
      </c>
      <c r="R97">
        <v>3</v>
      </c>
      <c r="S97">
        <v>8</v>
      </c>
      <c r="T97"/>
      <c r="U97"/>
      <c r="V97" t="s">
        <v>375</v>
      </c>
      <c r="W97"/>
      <c r="X97"/>
      <c r="Y97"/>
      <c r="Z97"/>
      <c r="AA97"/>
      <c r="AB97"/>
      <c r="AC97"/>
      <c r="AD97"/>
      <c r="AE97"/>
      <c r="AF97"/>
      <c r="AG97"/>
      <c r="AH97"/>
      <c r="AI97"/>
      <c r="AJ97"/>
      <c r="AK97"/>
      <c r="AL97"/>
      <c r="AM97"/>
      <c r="AN97"/>
    </row>
    <row r="98" spans="1:40" ht="15">
      <c r="A98"/>
      <c r="B98"/>
      <c r="C98"/>
      <c r="D98">
        <v>13</v>
      </c>
      <c r="E98">
        <v>2</v>
      </c>
      <c r="F98"/>
      <c r="G98" t="s">
        <v>304</v>
      </c>
      <c r="H98"/>
      <c r="I98" t="s">
        <v>43</v>
      </c>
      <c r="J98"/>
      <c r="K98" t="s">
        <v>104</v>
      </c>
      <c r="L98"/>
      <c r="M98"/>
      <c r="N98"/>
      <c r="O98" t="s">
        <v>167</v>
      </c>
      <c r="P98"/>
      <c r="Q98"/>
      <c r="R98"/>
      <c r="S98"/>
      <c r="T98" t="s">
        <v>167</v>
      </c>
      <c r="U98"/>
      <c r="V98" t="s">
        <v>428</v>
      </c>
      <c r="W98"/>
      <c r="X98"/>
      <c r="Y98"/>
      <c r="Z98"/>
      <c r="AA98"/>
      <c r="AB98"/>
      <c r="AC98"/>
      <c r="AD98"/>
      <c r="AE98"/>
      <c r="AF98"/>
      <c r="AG98"/>
      <c r="AH98"/>
      <c r="AI98"/>
      <c r="AJ98"/>
      <c r="AK98"/>
      <c r="AL98"/>
      <c r="AM98"/>
      <c r="AN98"/>
    </row>
    <row r="99" spans="1:40" ht="15">
      <c r="A99"/>
      <c r="B99"/>
      <c r="C99"/>
      <c r="D99">
        <v>14</v>
      </c>
      <c r="E99">
        <v>2</v>
      </c>
      <c r="F99"/>
      <c r="G99" t="s">
        <v>305</v>
      </c>
      <c r="H99"/>
      <c r="I99" t="s">
        <v>129</v>
      </c>
      <c r="J99"/>
      <c r="K99"/>
      <c r="L99"/>
      <c r="M99"/>
      <c r="N99"/>
      <c r="O99"/>
      <c r="P99"/>
      <c r="Q99"/>
      <c r="R99"/>
      <c r="S99"/>
      <c r="T99"/>
      <c r="U99"/>
      <c r="V99" t="s">
        <v>376</v>
      </c>
      <c r="W99"/>
      <c r="X99"/>
      <c r="Y99"/>
      <c r="Z99"/>
      <c r="AA99"/>
      <c r="AB99"/>
      <c r="AC99"/>
      <c r="AD99"/>
      <c r="AE99"/>
      <c r="AF99"/>
      <c r="AG99"/>
      <c r="AH99"/>
      <c r="AI99"/>
      <c r="AJ99"/>
      <c r="AK99"/>
      <c r="AL99"/>
      <c r="AM99"/>
      <c r="AN99"/>
    </row>
    <row r="100" spans="1:40" ht="15">
      <c r="A100"/>
      <c r="B100"/>
      <c r="C100"/>
      <c r="D100">
        <v>15</v>
      </c>
      <c r="E100">
        <v>1</v>
      </c>
      <c r="F100"/>
      <c r="G100" t="s">
        <v>306</v>
      </c>
      <c r="H100" t="s">
        <v>35</v>
      </c>
      <c r="I100" t="s">
        <v>42</v>
      </c>
      <c r="J100"/>
      <c r="K100" t="s">
        <v>165</v>
      </c>
      <c r="L100"/>
      <c r="M100"/>
      <c r="N100">
        <v>36</v>
      </c>
      <c r="O100">
        <v>3</v>
      </c>
      <c r="P100"/>
      <c r="Q100">
        <v>6</v>
      </c>
      <c r="R100">
        <v>3</v>
      </c>
      <c r="S100">
        <v>6</v>
      </c>
      <c r="T100"/>
      <c r="U100"/>
      <c r="V100" t="s">
        <v>417</v>
      </c>
      <c r="W100"/>
      <c r="X100"/>
      <c r="Y100"/>
      <c r="Z100"/>
      <c r="AA100"/>
      <c r="AB100"/>
      <c r="AC100"/>
      <c r="AD100"/>
      <c r="AE100"/>
      <c r="AF100"/>
      <c r="AG100"/>
      <c r="AH100"/>
      <c r="AI100"/>
      <c r="AJ100"/>
      <c r="AK100"/>
      <c r="AL100"/>
      <c r="AM100"/>
      <c r="AN100"/>
    </row>
    <row r="101" spans="1:40" ht="15">
      <c r="A101"/>
      <c r="B101"/>
      <c r="C101"/>
      <c r="D101">
        <v>16</v>
      </c>
      <c r="E101">
        <v>2</v>
      </c>
      <c r="F101"/>
      <c r="G101" t="s">
        <v>307</v>
      </c>
      <c r="H101"/>
      <c r="I101" t="s">
        <v>43</v>
      </c>
      <c r="J101"/>
      <c r="K101" t="s">
        <v>104</v>
      </c>
      <c r="L101"/>
      <c r="M101"/>
      <c r="N101"/>
      <c r="O101">
        <v>2</v>
      </c>
      <c r="P101"/>
      <c r="Q101"/>
      <c r="R101"/>
      <c r="S101"/>
      <c r="T101">
        <v>2</v>
      </c>
      <c r="U101"/>
      <c r="V101" t="s">
        <v>308</v>
      </c>
      <c r="W101"/>
      <c r="X101"/>
      <c r="Y101"/>
      <c r="Z101"/>
      <c r="AA101"/>
      <c r="AB101"/>
      <c r="AC101"/>
      <c r="AD101"/>
      <c r="AE101"/>
      <c r="AF101"/>
      <c r="AG101"/>
      <c r="AH101"/>
      <c r="AI101"/>
      <c r="AJ101"/>
      <c r="AK101"/>
      <c r="AL101"/>
      <c r="AM101"/>
      <c r="AN101"/>
    </row>
    <row r="102" spans="1:40" ht="15">
      <c r="A102"/>
      <c r="B102"/>
      <c r="C102"/>
      <c r="D102">
        <v>17</v>
      </c>
      <c r="E102">
        <v>2</v>
      </c>
      <c r="F102"/>
      <c r="G102" t="s">
        <v>309</v>
      </c>
      <c r="H102"/>
      <c r="I102" t="s">
        <v>129</v>
      </c>
      <c r="J102"/>
      <c r="K102"/>
      <c r="L102"/>
      <c r="M102"/>
      <c r="N102"/>
      <c r="O102"/>
      <c r="P102"/>
      <c r="Q102"/>
      <c r="R102"/>
      <c r="S102"/>
      <c r="T102"/>
      <c r="U102"/>
      <c r="V102" t="s">
        <v>310</v>
      </c>
      <c r="W102"/>
      <c r="X102"/>
      <c r="Y102"/>
      <c r="Z102"/>
      <c r="AA102"/>
      <c r="AB102"/>
      <c r="AC102"/>
      <c r="AD102"/>
      <c r="AE102"/>
      <c r="AF102"/>
      <c r="AG102"/>
      <c r="AH102"/>
      <c r="AI102"/>
      <c r="AJ102"/>
      <c r="AK102"/>
      <c r="AL102"/>
      <c r="AM102"/>
      <c r="AN102"/>
    </row>
    <row r="103" spans="1:40" ht="15">
      <c r="A103"/>
      <c r="B103"/>
      <c r="C103"/>
      <c r="D103">
        <v>18</v>
      </c>
      <c r="E103">
        <v>2</v>
      </c>
      <c r="F103"/>
      <c r="G103" t="s">
        <v>311</v>
      </c>
      <c r="H103"/>
      <c r="I103" t="s">
        <v>42</v>
      </c>
      <c r="J103"/>
      <c r="K103" t="s">
        <v>257</v>
      </c>
      <c r="L103"/>
      <c r="M103"/>
      <c r="N103">
        <v>13</v>
      </c>
      <c r="O103">
        <v>1</v>
      </c>
      <c r="P103"/>
      <c r="Q103">
        <v>2</v>
      </c>
      <c r="R103">
        <v>1</v>
      </c>
      <c r="S103">
        <v>3</v>
      </c>
      <c r="T103"/>
      <c r="U103"/>
      <c r="V103" t="s">
        <v>312</v>
      </c>
      <c r="W103"/>
      <c r="X103"/>
      <c r="Y103"/>
      <c r="Z103"/>
      <c r="AA103"/>
      <c r="AB103"/>
      <c r="AC103"/>
      <c r="AD103"/>
      <c r="AE103"/>
      <c r="AF103"/>
      <c r="AG103"/>
      <c r="AH103"/>
      <c r="AI103"/>
      <c r="AJ103"/>
      <c r="AK103"/>
      <c r="AL103"/>
      <c r="AM103"/>
      <c r="AN103"/>
    </row>
    <row r="104" spans="1:40" ht="15">
      <c r="A104"/>
      <c r="B104"/>
      <c r="C104"/>
      <c r="D104">
        <v>19</v>
      </c>
      <c r="E104">
        <v>1</v>
      </c>
      <c r="F104"/>
      <c r="G104" t="s">
        <v>313</v>
      </c>
      <c r="H104"/>
      <c r="I104" t="s">
        <v>43</v>
      </c>
      <c r="J104"/>
      <c r="K104"/>
      <c r="L104"/>
      <c r="M104"/>
      <c r="N104"/>
      <c r="O104">
        <v>2</v>
      </c>
      <c r="P104"/>
      <c r="Q104"/>
      <c r="R104"/>
      <c r="S104"/>
      <c r="T104">
        <v>6</v>
      </c>
      <c r="U104"/>
      <c r="V104" t="s">
        <v>429</v>
      </c>
      <c r="W104"/>
      <c r="X104"/>
      <c r="Y104"/>
      <c r="Z104"/>
      <c r="AA104"/>
      <c r="AB104"/>
      <c r="AC104"/>
      <c r="AD104"/>
      <c r="AE104"/>
      <c r="AF104"/>
      <c r="AG104"/>
      <c r="AH104"/>
      <c r="AI104"/>
      <c r="AJ104"/>
      <c r="AK104"/>
      <c r="AL104"/>
      <c r="AM104"/>
      <c r="AN104"/>
    </row>
    <row r="105" spans="1:40" ht="15">
      <c r="A105"/>
      <c r="B105"/>
      <c r="C105"/>
      <c r="D105">
        <v>20</v>
      </c>
      <c r="E105">
        <v>2</v>
      </c>
      <c r="F105"/>
      <c r="G105" t="s">
        <v>314</v>
      </c>
      <c r="H105"/>
      <c r="I105" t="s">
        <v>129</v>
      </c>
      <c r="J105"/>
      <c r="K105"/>
      <c r="L105"/>
      <c r="M105"/>
      <c r="N105"/>
      <c r="O105"/>
      <c r="P105"/>
      <c r="Q105"/>
      <c r="R105"/>
      <c r="S105"/>
      <c r="T105"/>
      <c r="U105"/>
      <c r="V105" t="s">
        <v>195</v>
      </c>
      <c r="W105"/>
      <c r="X105"/>
      <c r="Y105"/>
      <c r="Z105"/>
      <c r="AA105"/>
      <c r="AB105"/>
      <c r="AC105"/>
      <c r="AD105"/>
      <c r="AE105"/>
      <c r="AF105"/>
      <c r="AG105"/>
      <c r="AH105"/>
      <c r="AI105"/>
      <c r="AJ105"/>
      <c r="AK105"/>
      <c r="AL105"/>
      <c r="AM105"/>
      <c r="AN105"/>
    </row>
    <row r="106" spans="1:40" ht="15">
      <c r="A106"/>
      <c r="B106"/>
      <c r="C106"/>
      <c r="D106">
        <v>21</v>
      </c>
      <c r="E106">
        <v>3</v>
      </c>
      <c r="F106"/>
      <c r="G106" t="s">
        <v>103</v>
      </c>
      <c r="H106"/>
      <c r="I106" t="s">
        <v>42</v>
      </c>
      <c r="J106"/>
      <c r="K106" t="s">
        <v>250</v>
      </c>
      <c r="L106"/>
      <c r="M106"/>
      <c r="N106">
        <v>22</v>
      </c>
      <c r="O106">
        <v>2</v>
      </c>
      <c r="P106"/>
      <c r="Q106">
        <v>2</v>
      </c>
      <c r="R106">
        <v>1</v>
      </c>
      <c r="S106">
        <v>2</v>
      </c>
      <c r="T106"/>
      <c r="U106"/>
      <c r="V106" t="s">
        <v>315</v>
      </c>
      <c r="W106"/>
      <c r="X106"/>
      <c r="Y106"/>
      <c r="Z106"/>
      <c r="AA106"/>
      <c r="AB106"/>
      <c r="AC106"/>
      <c r="AD106"/>
      <c r="AE106"/>
      <c r="AF106"/>
      <c r="AG106"/>
      <c r="AH106"/>
      <c r="AI106"/>
      <c r="AJ106"/>
      <c r="AK106"/>
      <c r="AL106"/>
      <c r="AM106"/>
      <c r="AN106"/>
    </row>
    <row r="107" spans="1:40" ht="15">
      <c r="A107"/>
      <c r="B107"/>
      <c r="C107"/>
      <c r="D107">
        <v>22</v>
      </c>
      <c r="E107">
        <v>1</v>
      </c>
      <c r="F107"/>
      <c r="G107" t="s">
        <v>316</v>
      </c>
      <c r="H107" t="s">
        <v>35</v>
      </c>
      <c r="I107" t="s">
        <v>43</v>
      </c>
      <c r="J107"/>
      <c r="K107" t="s">
        <v>104</v>
      </c>
      <c r="L107"/>
      <c r="M107"/>
      <c r="N107"/>
      <c r="O107">
        <v>4</v>
      </c>
      <c r="P107"/>
      <c r="Q107"/>
      <c r="R107"/>
      <c r="S107"/>
      <c r="T107">
        <v>4</v>
      </c>
      <c r="U107"/>
      <c r="V107" t="s">
        <v>418</v>
      </c>
      <c r="W107"/>
      <c r="X107"/>
      <c r="Y107"/>
      <c r="Z107"/>
      <c r="AA107"/>
      <c r="AB107"/>
      <c r="AC107"/>
      <c r="AD107"/>
      <c r="AE107"/>
      <c r="AF107"/>
      <c r="AG107"/>
      <c r="AH107"/>
      <c r="AI107"/>
      <c r="AJ107"/>
      <c r="AK107"/>
      <c r="AL107"/>
      <c r="AM107"/>
      <c r="AN107"/>
    </row>
    <row r="108" spans="1:40" ht="15">
      <c r="A108"/>
      <c r="B108"/>
      <c r="C108"/>
      <c r="D108">
        <v>23</v>
      </c>
      <c r="E108">
        <v>1</v>
      </c>
      <c r="F108"/>
      <c r="G108" t="s">
        <v>317</v>
      </c>
      <c r="H108"/>
      <c r="I108" t="s">
        <v>129</v>
      </c>
      <c r="J108"/>
      <c r="K108"/>
      <c r="L108"/>
      <c r="M108"/>
      <c r="N108"/>
      <c r="O108"/>
      <c r="P108"/>
      <c r="Q108"/>
      <c r="R108"/>
      <c r="S108"/>
      <c r="T108"/>
      <c r="U108"/>
      <c r="V108" t="s">
        <v>384</v>
      </c>
      <c r="W108"/>
      <c r="X108"/>
      <c r="Y108"/>
      <c r="Z108"/>
      <c r="AA108"/>
      <c r="AB108"/>
      <c r="AC108"/>
      <c r="AD108"/>
      <c r="AE108"/>
      <c r="AF108"/>
      <c r="AG108"/>
      <c r="AH108"/>
      <c r="AI108"/>
      <c r="AJ108"/>
      <c r="AK108"/>
      <c r="AL108"/>
      <c r="AM108"/>
      <c r="AN108"/>
    </row>
    <row r="109" spans="1:40" ht="15">
      <c r="A109"/>
      <c r="B109"/>
      <c r="C109"/>
      <c r="D109">
        <v>24</v>
      </c>
      <c r="E109">
        <v>3</v>
      </c>
      <c r="F109"/>
      <c r="G109" t="s">
        <v>318</v>
      </c>
      <c r="H109"/>
      <c r="I109" t="s">
        <v>42</v>
      </c>
      <c r="J109"/>
      <c r="K109" t="s">
        <v>165</v>
      </c>
      <c r="L109"/>
      <c r="M109"/>
      <c r="N109">
        <v>23</v>
      </c>
      <c r="O109">
        <v>2</v>
      </c>
      <c r="P109"/>
      <c r="Q109">
        <v>2</v>
      </c>
      <c r="R109">
        <v>2</v>
      </c>
      <c r="S109">
        <v>2</v>
      </c>
      <c r="T109"/>
      <c r="U109"/>
      <c r="V109" t="s">
        <v>319</v>
      </c>
      <c r="W109"/>
      <c r="X109"/>
      <c r="Y109"/>
      <c r="Z109"/>
      <c r="AA109"/>
      <c r="AB109"/>
      <c r="AC109"/>
      <c r="AD109"/>
      <c r="AE109"/>
      <c r="AF109"/>
      <c r="AG109"/>
      <c r="AH109"/>
      <c r="AI109"/>
      <c r="AJ109"/>
      <c r="AK109"/>
      <c r="AL109"/>
      <c r="AM109"/>
      <c r="AN109"/>
    </row>
    <row r="110" spans="1:40" ht="15">
      <c r="A110"/>
      <c r="B110"/>
      <c r="C110"/>
      <c r="D110">
        <v>25</v>
      </c>
      <c r="E110">
        <v>1</v>
      </c>
      <c r="F110"/>
      <c r="G110" t="s">
        <v>320</v>
      </c>
      <c r="H110" t="s">
        <v>35</v>
      </c>
      <c r="I110" t="s">
        <v>43</v>
      </c>
      <c r="J110"/>
      <c r="K110" t="s">
        <v>321</v>
      </c>
      <c r="L110"/>
      <c r="M110"/>
      <c r="N110"/>
      <c r="O110">
        <v>3</v>
      </c>
      <c r="P110"/>
      <c r="Q110"/>
      <c r="R110"/>
      <c r="S110"/>
      <c r="T110">
        <v>5</v>
      </c>
      <c r="U110"/>
      <c r="V110" t="s">
        <v>419</v>
      </c>
      <c r="W110"/>
      <c r="X110"/>
      <c r="Y110"/>
      <c r="Z110"/>
      <c r="AA110"/>
      <c r="AB110"/>
      <c r="AC110"/>
      <c r="AD110"/>
      <c r="AE110"/>
      <c r="AF110"/>
      <c r="AG110"/>
      <c r="AH110"/>
      <c r="AI110"/>
      <c r="AJ110"/>
      <c r="AK110"/>
      <c r="AL110"/>
      <c r="AM110"/>
      <c r="AN110"/>
    </row>
    <row r="111" spans="1:40" ht="15">
      <c r="A111"/>
      <c r="B111"/>
      <c r="C111"/>
      <c r="D111">
        <v>26</v>
      </c>
      <c r="E111">
        <v>1</v>
      </c>
      <c r="F111"/>
      <c r="G111" t="s">
        <v>322</v>
      </c>
      <c r="H111"/>
      <c r="I111" t="s">
        <v>129</v>
      </c>
      <c r="J111"/>
      <c r="K111"/>
      <c r="L111"/>
      <c r="M111"/>
      <c r="N111"/>
      <c r="O111"/>
      <c r="P111"/>
      <c r="Q111"/>
      <c r="R111"/>
      <c r="S111"/>
      <c r="T111"/>
      <c r="U111"/>
      <c r="V111" t="s">
        <v>385</v>
      </c>
      <c r="W111"/>
      <c r="X111"/>
      <c r="Y111"/>
      <c r="Z111"/>
      <c r="AA111"/>
      <c r="AB111"/>
      <c r="AC111"/>
      <c r="AD111"/>
      <c r="AE111"/>
      <c r="AF111"/>
      <c r="AG111"/>
      <c r="AH111"/>
      <c r="AI111"/>
      <c r="AJ111"/>
      <c r="AK111"/>
      <c r="AL111"/>
      <c r="AM111"/>
      <c r="AN111"/>
    </row>
    <row r="112" spans="1:40" ht="15">
      <c r="A112"/>
      <c r="B112"/>
      <c r="C112"/>
      <c r="D112">
        <v>27</v>
      </c>
      <c r="E112">
        <v>1</v>
      </c>
      <c r="F112"/>
      <c r="G112" t="s">
        <v>171</v>
      </c>
      <c r="H112"/>
      <c r="I112" t="s">
        <v>42</v>
      </c>
      <c r="J112"/>
      <c r="K112" t="s">
        <v>257</v>
      </c>
      <c r="L112"/>
      <c r="M112"/>
      <c r="N112">
        <v>28</v>
      </c>
      <c r="O112">
        <v>3</v>
      </c>
      <c r="P112"/>
      <c r="Q112">
        <v>3</v>
      </c>
      <c r="R112">
        <v>1</v>
      </c>
      <c r="S112">
        <v>8</v>
      </c>
      <c r="T112"/>
      <c r="U112"/>
      <c r="V112" t="s">
        <v>420</v>
      </c>
      <c r="W112"/>
      <c r="X112"/>
      <c r="Y112"/>
      <c r="Z112"/>
      <c r="AA112"/>
      <c r="AB112"/>
      <c r="AC112"/>
      <c r="AD112"/>
      <c r="AE112"/>
      <c r="AF112"/>
      <c r="AG112"/>
      <c r="AH112"/>
      <c r="AI112"/>
      <c r="AJ112"/>
      <c r="AK112"/>
      <c r="AL112"/>
      <c r="AM112"/>
      <c r="AN112"/>
    </row>
    <row r="113" spans="1:40" ht="15">
      <c r="A113"/>
      <c r="B113"/>
      <c r="C113"/>
      <c r="D113">
        <v>28</v>
      </c>
      <c r="E113">
        <v>3</v>
      </c>
      <c r="F113"/>
      <c r="G113" t="s">
        <v>323</v>
      </c>
      <c r="H113"/>
      <c r="I113" t="s">
        <v>43</v>
      </c>
      <c r="J113"/>
      <c r="K113" t="s">
        <v>104</v>
      </c>
      <c r="L113"/>
      <c r="M113"/>
      <c r="N113"/>
      <c r="O113">
        <v>1</v>
      </c>
      <c r="P113"/>
      <c r="Q113"/>
      <c r="R113"/>
      <c r="S113"/>
      <c r="T113">
        <v>4</v>
      </c>
      <c r="U113"/>
      <c r="V113" t="s">
        <v>430</v>
      </c>
      <c r="W113"/>
      <c r="X113"/>
      <c r="Y113"/>
      <c r="Z113"/>
      <c r="AA113"/>
      <c r="AB113"/>
      <c r="AC113"/>
      <c r="AD113"/>
      <c r="AE113"/>
      <c r="AF113"/>
      <c r="AG113"/>
      <c r="AH113"/>
      <c r="AI113"/>
      <c r="AJ113"/>
      <c r="AK113"/>
      <c r="AL113"/>
      <c r="AM113"/>
      <c r="AN113"/>
    </row>
    <row r="114" spans="1:40" ht="15">
      <c r="A114"/>
      <c r="B114"/>
      <c r="C114"/>
      <c r="D114">
        <v>29</v>
      </c>
      <c r="E114">
        <v>1</v>
      </c>
      <c r="F114"/>
      <c r="G114" t="s">
        <v>324</v>
      </c>
      <c r="H114"/>
      <c r="I114" t="s">
        <v>129</v>
      </c>
      <c r="J114"/>
      <c r="K114" t="s">
        <v>247</v>
      </c>
      <c r="L114"/>
      <c r="M114"/>
      <c r="N114"/>
      <c r="O114"/>
      <c r="P114"/>
      <c r="Q114"/>
      <c r="R114"/>
      <c r="S114"/>
      <c r="T114"/>
      <c r="U114"/>
      <c r="V114" t="s">
        <v>325</v>
      </c>
      <c r="W114"/>
      <c r="X114"/>
      <c r="Y114"/>
      <c r="Z114"/>
      <c r="AA114"/>
      <c r="AB114"/>
      <c r="AC114"/>
      <c r="AD114"/>
      <c r="AE114"/>
      <c r="AF114"/>
      <c r="AG114"/>
      <c r="AH114"/>
      <c r="AI114"/>
      <c r="AJ114"/>
      <c r="AK114"/>
      <c r="AL114"/>
      <c r="AM114"/>
      <c r="AN114"/>
    </row>
    <row r="115" spans="1:40" ht="15">
      <c r="A115"/>
      <c r="B115"/>
      <c r="C115"/>
      <c r="D115">
        <v>30</v>
      </c>
      <c r="E115">
        <v>2</v>
      </c>
      <c r="F115"/>
      <c r="G115" t="s">
        <v>326</v>
      </c>
      <c r="H115"/>
      <c r="I115" t="s">
        <v>42</v>
      </c>
      <c r="J115"/>
      <c r="K115" t="s">
        <v>250</v>
      </c>
      <c r="L115"/>
      <c r="M115"/>
      <c r="N115">
        <v>30</v>
      </c>
      <c r="O115">
        <v>3</v>
      </c>
      <c r="P115"/>
      <c r="Q115">
        <v>3</v>
      </c>
      <c r="R115">
        <v>2</v>
      </c>
      <c r="S115">
        <v>5</v>
      </c>
      <c r="T115"/>
      <c r="U115"/>
      <c r="V115" t="s">
        <v>327</v>
      </c>
      <c r="W115"/>
      <c r="X115"/>
      <c r="Y115"/>
      <c r="Z115"/>
      <c r="AA115"/>
      <c r="AB115"/>
      <c r="AC115"/>
      <c r="AD115"/>
      <c r="AE115"/>
      <c r="AF115"/>
      <c r="AG115"/>
      <c r="AH115"/>
      <c r="AI115"/>
      <c r="AJ115"/>
      <c r="AK115"/>
      <c r="AL115"/>
      <c r="AM115"/>
      <c r="AN115"/>
    </row>
    <row r="116" spans="1:40" ht="15">
      <c r="A116"/>
      <c r="B116"/>
      <c r="C116"/>
      <c r="D116">
        <v>31</v>
      </c>
      <c r="E116">
        <v>2</v>
      </c>
      <c r="F116"/>
      <c r="G116" t="s">
        <v>328</v>
      </c>
      <c r="H116"/>
      <c r="I116" t="s">
        <v>43</v>
      </c>
      <c r="J116"/>
      <c r="K116" t="s">
        <v>104</v>
      </c>
      <c r="L116"/>
      <c r="M116"/>
      <c r="N116"/>
      <c r="O116">
        <v>2</v>
      </c>
      <c r="P116"/>
      <c r="Q116"/>
      <c r="R116"/>
      <c r="S116"/>
      <c r="T116">
        <v>4</v>
      </c>
      <c r="U116"/>
      <c r="V116" t="s">
        <v>329</v>
      </c>
      <c r="W116"/>
      <c r="X116"/>
      <c r="Y116"/>
      <c r="Z116"/>
      <c r="AA116"/>
      <c r="AB116"/>
      <c r="AC116"/>
      <c r="AD116"/>
      <c r="AE116"/>
      <c r="AF116"/>
      <c r="AG116"/>
      <c r="AH116"/>
      <c r="AI116"/>
      <c r="AJ116"/>
      <c r="AK116"/>
      <c r="AL116"/>
      <c r="AM116"/>
      <c r="AN116"/>
    </row>
    <row r="117" spans="1:40" ht="15">
      <c r="A117"/>
      <c r="B117"/>
      <c r="C117"/>
      <c r="D117">
        <v>32</v>
      </c>
      <c r="E117">
        <v>1</v>
      </c>
      <c r="F117"/>
      <c r="G117" t="s">
        <v>330</v>
      </c>
      <c r="H117"/>
      <c r="I117" t="s">
        <v>129</v>
      </c>
      <c r="J117"/>
      <c r="K117"/>
      <c r="L117" t="s">
        <v>191</v>
      </c>
      <c r="M117"/>
      <c r="N117"/>
      <c r="O117"/>
      <c r="P117"/>
      <c r="Q117"/>
      <c r="R117"/>
      <c r="S117"/>
      <c r="T117"/>
      <c r="U117"/>
      <c r="V117" t="s">
        <v>377</v>
      </c>
      <c r="W117"/>
      <c r="X117"/>
      <c r="Y117"/>
      <c r="Z117"/>
      <c r="AA117"/>
      <c r="AB117"/>
      <c r="AC117"/>
      <c r="AD117"/>
      <c r="AE117"/>
      <c r="AF117"/>
      <c r="AG117"/>
      <c r="AH117"/>
      <c r="AI117"/>
      <c r="AJ117"/>
      <c r="AK117"/>
      <c r="AL117"/>
      <c r="AM117"/>
      <c r="AN117"/>
    </row>
    <row r="118" spans="1:40" ht="15">
      <c r="A118"/>
      <c r="B118"/>
      <c r="C118"/>
      <c r="D118">
        <v>33</v>
      </c>
      <c r="E118">
        <v>2</v>
      </c>
      <c r="F118"/>
      <c r="G118" t="s">
        <v>331</v>
      </c>
      <c r="H118"/>
      <c r="I118" t="s">
        <v>42</v>
      </c>
      <c r="J118"/>
      <c r="K118" t="s">
        <v>165</v>
      </c>
      <c r="L118"/>
      <c r="M118"/>
      <c r="N118">
        <v>34</v>
      </c>
      <c r="O118">
        <v>3</v>
      </c>
      <c r="P118"/>
      <c r="Q118">
        <v>4</v>
      </c>
      <c r="R118">
        <v>3</v>
      </c>
      <c r="S118">
        <v>5</v>
      </c>
      <c r="T118"/>
      <c r="U118"/>
      <c r="V118" t="s">
        <v>332</v>
      </c>
      <c r="W118"/>
      <c r="X118"/>
      <c r="Y118"/>
      <c r="Z118"/>
      <c r="AA118"/>
      <c r="AB118"/>
      <c r="AC118"/>
      <c r="AD118"/>
      <c r="AE118"/>
      <c r="AF118"/>
      <c r="AG118"/>
      <c r="AH118"/>
      <c r="AI118"/>
      <c r="AJ118"/>
      <c r="AK118"/>
      <c r="AL118"/>
      <c r="AM118"/>
      <c r="AN118"/>
    </row>
    <row r="119" spans="1:40" ht="15">
      <c r="A119"/>
      <c r="B119"/>
      <c r="C119"/>
      <c r="D119">
        <v>34</v>
      </c>
      <c r="E119">
        <v>2</v>
      </c>
      <c r="F119"/>
      <c r="G119" t="s">
        <v>333</v>
      </c>
      <c r="H119"/>
      <c r="I119" t="s">
        <v>43</v>
      </c>
      <c r="J119"/>
      <c r="K119" t="s">
        <v>334</v>
      </c>
      <c r="L119"/>
      <c r="M119"/>
      <c r="N119"/>
      <c r="O119">
        <v>2</v>
      </c>
      <c r="P119"/>
      <c r="Q119"/>
      <c r="R119"/>
      <c r="S119"/>
      <c r="T119">
        <v>4</v>
      </c>
      <c r="U119"/>
      <c r="V119" t="s">
        <v>386</v>
      </c>
      <c r="W119"/>
      <c r="X119"/>
      <c r="Y119"/>
      <c r="Z119"/>
      <c r="AA119"/>
      <c r="AB119"/>
      <c r="AC119"/>
      <c r="AD119"/>
      <c r="AE119"/>
      <c r="AF119"/>
      <c r="AG119"/>
      <c r="AH119"/>
      <c r="AI119"/>
      <c r="AJ119"/>
      <c r="AK119"/>
      <c r="AL119"/>
      <c r="AM119"/>
      <c r="AN119"/>
    </row>
    <row r="120" spans="1:40" ht="15">
      <c r="A120"/>
      <c r="B120"/>
      <c r="C120"/>
      <c r="D120">
        <v>35</v>
      </c>
      <c r="E120">
        <v>1</v>
      </c>
      <c r="F120"/>
      <c r="G120" t="s">
        <v>335</v>
      </c>
      <c r="H120"/>
      <c r="I120" t="s">
        <v>129</v>
      </c>
      <c r="J120"/>
      <c r="K120"/>
      <c r="L120"/>
      <c r="M120"/>
      <c r="N120"/>
      <c r="O120"/>
      <c r="P120"/>
      <c r="Q120"/>
      <c r="R120"/>
      <c r="S120"/>
      <c r="T120"/>
      <c r="U120"/>
      <c r="V120" t="s">
        <v>336</v>
      </c>
      <c r="W120"/>
      <c r="X120"/>
      <c r="Y120"/>
      <c r="Z120"/>
      <c r="AA120"/>
      <c r="AB120"/>
      <c r="AC120"/>
      <c r="AD120"/>
      <c r="AE120"/>
      <c r="AF120"/>
      <c r="AG120"/>
      <c r="AH120"/>
      <c r="AI120"/>
      <c r="AJ120"/>
      <c r="AK120"/>
      <c r="AL120"/>
      <c r="AM120"/>
      <c r="AN120"/>
    </row>
    <row r="121" spans="1:40" ht="15">
      <c r="A121"/>
      <c r="B121"/>
      <c r="C121"/>
      <c r="D121">
        <v>36</v>
      </c>
      <c r="E121">
        <v>2</v>
      </c>
      <c r="F121"/>
      <c r="G121" t="s">
        <v>337</v>
      </c>
      <c r="H121"/>
      <c r="I121" t="s">
        <v>42</v>
      </c>
      <c r="J121"/>
      <c r="K121" t="s">
        <v>257</v>
      </c>
      <c r="L121"/>
      <c r="M121"/>
      <c r="N121">
        <v>33</v>
      </c>
      <c r="O121" t="s">
        <v>167</v>
      </c>
      <c r="P121"/>
      <c r="Q121">
        <v>4</v>
      </c>
      <c r="R121" t="s">
        <v>167</v>
      </c>
      <c r="S121">
        <v>5</v>
      </c>
      <c r="T121"/>
      <c r="U121"/>
      <c r="V121" t="s">
        <v>338</v>
      </c>
      <c r="W121"/>
      <c r="X121"/>
      <c r="Y121"/>
      <c r="Z121"/>
      <c r="AA121"/>
      <c r="AB121"/>
      <c r="AC121"/>
      <c r="AD121"/>
      <c r="AE121"/>
      <c r="AF121"/>
      <c r="AG121"/>
      <c r="AH121"/>
      <c r="AI121"/>
      <c r="AJ121"/>
      <c r="AK121"/>
      <c r="AL121"/>
      <c r="AM121"/>
      <c r="AN121"/>
    </row>
    <row r="122" spans="1:40" ht="15">
      <c r="A122"/>
      <c r="B122"/>
      <c r="C122"/>
      <c r="D122">
        <v>37</v>
      </c>
      <c r="E122">
        <v>2</v>
      </c>
      <c r="F122"/>
      <c r="G122" t="s">
        <v>339</v>
      </c>
      <c r="H122"/>
      <c r="I122" t="s">
        <v>43</v>
      </c>
      <c r="J122"/>
      <c r="K122" t="s">
        <v>104</v>
      </c>
      <c r="L122"/>
      <c r="M122"/>
      <c r="N122"/>
      <c r="O122">
        <v>2</v>
      </c>
      <c r="P122"/>
      <c r="Q122"/>
      <c r="R122"/>
      <c r="S122"/>
      <c r="T122">
        <v>3</v>
      </c>
      <c r="U122"/>
      <c r="V122" t="s">
        <v>340</v>
      </c>
      <c r="W122"/>
      <c r="X122"/>
      <c r="Y122"/>
      <c r="Z122"/>
      <c r="AA122"/>
      <c r="AB122"/>
      <c r="AC122"/>
      <c r="AD122"/>
      <c r="AE122"/>
      <c r="AF122"/>
      <c r="AG122"/>
      <c r="AH122"/>
      <c r="AI122"/>
      <c r="AJ122"/>
      <c r="AK122"/>
      <c r="AL122"/>
      <c r="AM122"/>
      <c r="AN122"/>
    </row>
    <row r="123" spans="1:40" ht="15">
      <c r="A123"/>
      <c r="B123"/>
      <c r="C123"/>
      <c r="D123">
        <v>38</v>
      </c>
      <c r="E123">
        <v>1</v>
      </c>
      <c r="F123"/>
      <c r="G123" t="s">
        <v>341</v>
      </c>
      <c r="H123"/>
      <c r="I123" t="s">
        <v>129</v>
      </c>
      <c r="J123"/>
      <c r="K123"/>
      <c r="L123"/>
      <c r="M123"/>
      <c r="N123"/>
      <c r="O123"/>
      <c r="P123"/>
      <c r="Q123"/>
      <c r="R123"/>
      <c r="S123"/>
      <c r="T123"/>
      <c r="U123"/>
      <c r="V123" t="s">
        <v>342</v>
      </c>
      <c r="W123"/>
      <c r="X123"/>
      <c r="Y123"/>
      <c r="Z123"/>
      <c r="AA123"/>
      <c r="AB123"/>
      <c r="AC123"/>
      <c r="AD123"/>
      <c r="AE123"/>
      <c r="AF123"/>
      <c r="AG123"/>
      <c r="AH123"/>
      <c r="AI123"/>
      <c r="AJ123"/>
      <c r="AK123"/>
      <c r="AL123"/>
      <c r="AM123"/>
      <c r="AN123"/>
    </row>
    <row r="124" spans="1:40" ht="15">
      <c r="A124"/>
      <c r="B124"/>
      <c r="C124"/>
      <c r="D124">
        <v>39</v>
      </c>
      <c r="E124">
        <v>2</v>
      </c>
      <c r="F124"/>
      <c r="G124" t="s">
        <v>343</v>
      </c>
      <c r="H124"/>
      <c r="I124" t="s">
        <v>42</v>
      </c>
      <c r="J124"/>
      <c r="K124"/>
      <c r="L124" t="s">
        <v>179</v>
      </c>
      <c r="M124"/>
      <c r="N124">
        <v>12</v>
      </c>
      <c r="O124">
        <v>1</v>
      </c>
      <c r="P124"/>
      <c r="Q124">
        <v>2</v>
      </c>
      <c r="R124">
        <v>1</v>
      </c>
      <c r="S124">
        <v>2</v>
      </c>
      <c r="T124"/>
      <c r="U124"/>
      <c r="V124"/>
      <c r="W124"/>
      <c r="X124"/>
      <c r="Y124"/>
      <c r="Z124"/>
      <c r="AA124"/>
      <c r="AB124"/>
      <c r="AC124"/>
      <c r="AD124"/>
      <c r="AE124"/>
      <c r="AF124"/>
      <c r="AG124"/>
      <c r="AH124"/>
      <c r="AI124"/>
      <c r="AJ124"/>
      <c r="AK124"/>
      <c r="AL124"/>
      <c r="AM124"/>
      <c r="AN124"/>
    </row>
    <row r="125" spans="1:40" ht="15">
      <c r="A125"/>
      <c r="B125"/>
      <c r="C125"/>
      <c r="D125">
        <v>40</v>
      </c>
      <c r="E125">
        <v>2</v>
      </c>
      <c r="F125"/>
      <c r="G125" t="s">
        <v>344</v>
      </c>
      <c r="H125"/>
      <c r="I125" t="s">
        <v>43</v>
      </c>
      <c r="J125"/>
      <c r="K125" t="s">
        <v>104</v>
      </c>
      <c r="L125"/>
      <c r="M125"/>
      <c r="N125"/>
      <c r="O125">
        <v>2</v>
      </c>
      <c r="P125"/>
      <c r="Q125"/>
      <c r="R125"/>
      <c r="S125"/>
      <c r="T125">
        <v>4</v>
      </c>
      <c r="U125"/>
      <c r="V125" t="s">
        <v>431</v>
      </c>
      <c r="W125"/>
      <c r="X125"/>
      <c r="Y125"/>
      <c r="Z125"/>
      <c r="AA125"/>
      <c r="AB125"/>
      <c r="AC125"/>
      <c r="AD125"/>
      <c r="AE125"/>
      <c r="AF125"/>
      <c r="AG125"/>
      <c r="AH125"/>
      <c r="AI125"/>
      <c r="AJ125"/>
      <c r="AK125"/>
      <c r="AL125"/>
      <c r="AM125"/>
      <c r="AN125"/>
    </row>
    <row r="126" spans="1:40" ht="15">
      <c r="A126"/>
      <c r="B126"/>
      <c r="C126"/>
      <c r="D126">
        <v>41</v>
      </c>
      <c r="E126">
        <v>1</v>
      </c>
      <c r="F126"/>
      <c r="G126" t="s">
        <v>345</v>
      </c>
      <c r="H126"/>
      <c r="I126" t="s">
        <v>129</v>
      </c>
      <c r="J126"/>
      <c r="K126"/>
      <c r="L126"/>
      <c r="M126"/>
      <c r="N126"/>
      <c r="O126"/>
      <c r="P126"/>
      <c r="Q126"/>
      <c r="R126"/>
      <c r="S126"/>
      <c r="T126"/>
      <c r="U126"/>
      <c r="V126" t="s">
        <v>346</v>
      </c>
      <c r="W126"/>
      <c r="X126"/>
      <c r="Y126"/>
      <c r="Z126"/>
      <c r="AA126"/>
      <c r="AB126"/>
      <c r="AC126"/>
      <c r="AD126"/>
      <c r="AE126"/>
      <c r="AF126"/>
      <c r="AG126"/>
      <c r="AH126"/>
      <c r="AI126"/>
      <c r="AJ126"/>
      <c r="AK126"/>
      <c r="AL126"/>
      <c r="AM126"/>
      <c r="AN126"/>
    </row>
    <row r="127" spans="1:40" ht="15">
      <c r="A127"/>
      <c r="B127"/>
      <c r="C127"/>
      <c r="D127">
        <v>42</v>
      </c>
      <c r="E127">
        <v>2</v>
      </c>
      <c r="F127"/>
      <c r="G127" t="s">
        <v>347</v>
      </c>
      <c r="H127"/>
      <c r="I127" t="s">
        <v>42</v>
      </c>
      <c r="J127"/>
      <c r="K127" t="s">
        <v>242</v>
      </c>
      <c r="L127"/>
      <c r="M127"/>
      <c r="N127">
        <v>25</v>
      </c>
      <c r="O127">
        <v>2</v>
      </c>
      <c r="P127"/>
      <c r="Q127">
        <v>3</v>
      </c>
      <c r="R127">
        <v>1</v>
      </c>
      <c r="S127">
        <v>3</v>
      </c>
      <c r="T127"/>
      <c r="U127"/>
      <c r="V127" t="s">
        <v>348</v>
      </c>
      <c r="W127"/>
      <c r="X127"/>
      <c r="Y127"/>
      <c r="Z127"/>
      <c r="AA127"/>
      <c r="AB127"/>
      <c r="AC127"/>
      <c r="AD127"/>
      <c r="AE127"/>
      <c r="AF127"/>
      <c r="AG127"/>
      <c r="AH127"/>
      <c r="AI127"/>
      <c r="AJ127"/>
      <c r="AK127"/>
      <c r="AL127"/>
      <c r="AM127"/>
      <c r="AN127"/>
    </row>
    <row r="128" spans="1:40" ht="15">
      <c r="A128"/>
      <c r="B128"/>
      <c r="C128"/>
      <c r="D128">
        <v>43</v>
      </c>
      <c r="E128">
        <v>2</v>
      </c>
      <c r="F128"/>
      <c r="G128" t="s">
        <v>349</v>
      </c>
      <c r="H128"/>
      <c r="I128" t="s">
        <v>43</v>
      </c>
      <c r="J128"/>
      <c r="K128" t="s">
        <v>104</v>
      </c>
      <c r="L128"/>
      <c r="M128"/>
      <c r="N128"/>
      <c r="O128">
        <v>2</v>
      </c>
      <c r="P128"/>
      <c r="Q128"/>
      <c r="R128"/>
      <c r="S128"/>
      <c r="T128">
        <v>4</v>
      </c>
      <c r="U128"/>
      <c r="V128" t="s">
        <v>432</v>
      </c>
      <c r="W128"/>
      <c r="X128"/>
      <c r="Y128"/>
      <c r="Z128"/>
      <c r="AA128"/>
      <c r="AB128"/>
      <c r="AC128"/>
      <c r="AD128"/>
      <c r="AE128"/>
      <c r="AF128"/>
      <c r="AG128"/>
      <c r="AH128"/>
      <c r="AI128"/>
      <c r="AJ128"/>
      <c r="AK128"/>
      <c r="AL128"/>
      <c r="AM128"/>
      <c r="AN128"/>
    </row>
    <row r="129" spans="1:40" ht="15">
      <c r="A129"/>
      <c r="B129"/>
      <c r="C129"/>
      <c r="D129">
        <v>44</v>
      </c>
      <c r="E129">
        <v>1</v>
      </c>
      <c r="F129"/>
      <c r="G129" t="s">
        <v>350</v>
      </c>
      <c r="H129"/>
      <c r="I129" t="s">
        <v>129</v>
      </c>
      <c r="J129"/>
      <c r="K129"/>
      <c r="L129"/>
      <c r="M129"/>
      <c r="N129"/>
      <c r="O129"/>
      <c r="P129"/>
      <c r="Q129"/>
      <c r="R129"/>
      <c r="S129"/>
      <c r="T129"/>
      <c r="U129"/>
      <c r="V129" t="s">
        <v>387</v>
      </c>
      <c r="W129"/>
      <c r="X129"/>
      <c r="Y129"/>
      <c r="Z129"/>
      <c r="AA129"/>
      <c r="AB129"/>
      <c r="AC129"/>
      <c r="AD129"/>
      <c r="AE129"/>
      <c r="AF129"/>
      <c r="AG129"/>
      <c r="AH129"/>
      <c r="AI129"/>
      <c r="AJ129"/>
      <c r="AK129"/>
      <c r="AL129"/>
      <c r="AM129"/>
      <c r="AN129"/>
    </row>
    <row r="130" spans="1:40" ht="15">
      <c r="A130"/>
      <c r="B130"/>
      <c r="C130"/>
      <c r="D130">
        <v>45</v>
      </c>
      <c r="E130">
        <v>1</v>
      </c>
      <c r="F130"/>
      <c r="G130" t="s">
        <v>351</v>
      </c>
      <c r="H130"/>
      <c r="I130" t="s">
        <v>42</v>
      </c>
      <c r="J130"/>
      <c r="K130"/>
      <c r="L130"/>
      <c r="M130"/>
      <c r="N130">
        <v>36</v>
      </c>
      <c r="O130">
        <v>3</v>
      </c>
      <c r="P130"/>
      <c r="Q130">
        <v>4</v>
      </c>
      <c r="R130">
        <v>2</v>
      </c>
      <c r="S130">
        <v>6</v>
      </c>
      <c r="T130"/>
      <c r="U130"/>
      <c r="V130" t="s">
        <v>421</v>
      </c>
      <c r="W130"/>
      <c r="X130"/>
      <c r="Y130"/>
      <c r="Z130"/>
      <c r="AA130"/>
      <c r="AB130"/>
      <c r="AC130"/>
      <c r="AD130"/>
      <c r="AE130"/>
      <c r="AF130"/>
      <c r="AG130"/>
      <c r="AH130"/>
      <c r="AI130"/>
      <c r="AJ130"/>
      <c r="AK130"/>
      <c r="AL130"/>
      <c r="AM130"/>
      <c r="AN130"/>
    </row>
    <row r="131" spans="1:40" ht="15">
      <c r="A131"/>
      <c r="B131"/>
      <c r="C131"/>
      <c r="D131">
        <v>46</v>
      </c>
      <c r="E131">
        <v>2</v>
      </c>
      <c r="F131"/>
      <c r="G131" t="s">
        <v>352</v>
      </c>
      <c r="H131"/>
      <c r="I131" t="s">
        <v>43</v>
      </c>
      <c r="J131"/>
      <c r="K131" t="s">
        <v>104</v>
      </c>
      <c r="L131"/>
      <c r="M131"/>
      <c r="N131"/>
      <c r="O131">
        <v>3</v>
      </c>
      <c r="P131"/>
      <c r="Q131"/>
      <c r="R131"/>
      <c r="S131"/>
      <c r="T131">
        <v>4</v>
      </c>
      <c r="U131"/>
      <c r="V131" t="s">
        <v>388</v>
      </c>
      <c r="W131"/>
      <c r="X131"/>
      <c r="Y131"/>
      <c r="Z131"/>
      <c r="AA131"/>
      <c r="AB131"/>
      <c r="AC131"/>
      <c r="AD131"/>
      <c r="AE131"/>
      <c r="AF131"/>
      <c r="AG131"/>
      <c r="AH131"/>
      <c r="AI131"/>
      <c r="AJ131"/>
      <c r="AK131"/>
      <c r="AL131"/>
      <c r="AM131"/>
      <c r="AN131"/>
    </row>
    <row r="132" spans="1:40" ht="15">
      <c r="A132"/>
      <c r="B132"/>
      <c r="C132"/>
      <c r="D132">
        <v>47</v>
      </c>
      <c r="E132">
        <v>2</v>
      </c>
      <c r="F132"/>
      <c r="G132" t="s">
        <v>353</v>
      </c>
      <c r="H132"/>
      <c r="I132" t="s">
        <v>129</v>
      </c>
      <c r="J132"/>
      <c r="K132"/>
      <c r="L132"/>
      <c r="M132"/>
      <c r="N132"/>
      <c r="O132"/>
      <c r="P132"/>
      <c r="Q132"/>
      <c r="R132"/>
      <c r="S132"/>
      <c r="T132"/>
      <c r="U132"/>
      <c r="V132" t="s">
        <v>354</v>
      </c>
      <c r="W132"/>
      <c r="X132"/>
      <c r="Y132"/>
      <c r="Z132"/>
      <c r="AA132"/>
      <c r="AB132"/>
      <c r="AC132"/>
      <c r="AD132"/>
      <c r="AE132"/>
      <c r="AF132"/>
      <c r="AG132"/>
      <c r="AH132"/>
      <c r="AI132"/>
      <c r="AJ132"/>
      <c r="AK132"/>
      <c r="AL132"/>
      <c r="AM132"/>
      <c r="AN132"/>
    </row>
    <row r="133" spans="1:40" ht="15">
      <c r="A133"/>
      <c r="B133"/>
      <c r="C133"/>
      <c r="D133">
        <v>48</v>
      </c>
      <c r="E133">
        <v>1</v>
      </c>
      <c r="F133"/>
      <c r="G133" t="s">
        <v>355</v>
      </c>
      <c r="H133"/>
      <c r="I133" t="s">
        <v>42</v>
      </c>
      <c r="J133"/>
      <c r="K133" t="s">
        <v>250</v>
      </c>
      <c r="L133"/>
      <c r="M133"/>
      <c r="N133">
        <v>34</v>
      </c>
      <c r="O133">
        <v>2</v>
      </c>
      <c r="P133"/>
      <c r="Q133">
        <v>4</v>
      </c>
      <c r="R133">
        <v>2</v>
      </c>
      <c r="S133">
        <v>4</v>
      </c>
      <c r="T133"/>
      <c r="U133"/>
      <c r="V133" t="s">
        <v>356</v>
      </c>
      <c r="W133"/>
      <c r="X133"/>
      <c r="Y133"/>
      <c r="Z133"/>
      <c r="AA133"/>
      <c r="AB133"/>
      <c r="AC133"/>
      <c r="AD133"/>
      <c r="AE133"/>
      <c r="AF133"/>
      <c r="AG133"/>
      <c r="AH133"/>
      <c r="AI133"/>
      <c r="AJ133"/>
      <c r="AK133"/>
      <c r="AL133"/>
      <c r="AM133"/>
      <c r="AN133"/>
    </row>
    <row r="134" spans="1:40" ht="15">
      <c r="A134"/>
      <c r="B134"/>
      <c r="C134"/>
      <c r="D134">
        <v>49</v>
      </c>
      <c r="E134">
        <v>2</v>
      </c>
      <c r="F134"/>
      <c r="G134" t="s">
        <v>357</v>
      </c>
      <c r="H134"/>
      <c r="I134" t="s">
        <v>43</v>
      </c>
      <c r="J134"/>
      <c r="K134"/>
      <c r="L134"/>
      <c r="M134"/>
      <c r="N134"/>
      <c r="O134">
        <v>4</v>
      </c>
      <c r="P134"/>
      <c r="Q134"/>
      <c r="R134"/>
      <c r="S134"/>
      <c r="T134">
        <v>4</v>
      </c>
      <c r="U134"/>
      <c r="V134" t="s">
        <v>433</v>
      </c>
      <c r="W134"/>
      <c r="X134"/>
      <c r="Y134"/>
      <c r="Z134"/>
      <c r="AA134"/>
      <c r="AB134"/>
      <c r="AC134"/>
      <c r="AD134"/>
      <c r="AE134"/>
      <c r="AF134"/>
      <c r="AG134"/>
      <c r="AH134"/>
      <c r="AI134"/>
      <c r="AJ134"/>
      <c r="AK134"/>
      <c r="AL134"/>
      <c r="AM134"/>
      <c r="AN134"/>
    </row>
    <row r="135" spans="1:40" ht="15">
      <c r="A135"/>
      <c r="B135"/>
      <c r="C135"/>
      <c r="D135">
        <v>50</v>
      </c>
      <c r="E135">
        <v>2</v>
      </c>
      <c r="F135"/>
      <c r="G135" t="s">
        <v>358</v>
      </c>
      <c r="H135"/>
      <c r="I135" t="s">
        <v>129</v>
      </c>
      <c r="J135"/>
      <c r="K135"/>
      <c r="L135"/>
      <c r="M135"/>
      <c r="N135"/>
      <c r="O135"/>
      <c r="P135"/>
      <c r="Q135"/>
      <c r="R135"/>
      <c r="S135"/>
      <c r="T135"/>
      <c r="U135"/>
      <c r="V135" t="s">
        <v>359</v>
      </c>
      <c r="W135"/>
      <c r="X135"/>
      <c r="Y135"/>
      <c r="Z135"/>
      <c r="AA135"/>
      <c r="AB135"/>
      <c r="AC135"/>
      <c r="AD135"/>
      <c r="AE135"/>
      <c r="AF135"/>
      <c r="AG135"/>
      <c r="AH135"/>
      <c r="AI135"/>
      <c r="AJ135"/>
      <c r="AK135"/>
      <c r="AL135"/>
      <c r="AM135"/>
      <c r="AN135"/>
    </row>
    <row r="136" spans="1:40" ht="15">
      <c r="A136"/>
      <c r="B136"/>
      <c r="C136"/>
      <c r="D136">
        <v>51</v>
      </c>
      <c r="E136">
        <v>1</v>
      </c>
      <c r="F136"/>
      <c r="G136" t="s">
        <v>360</v>
      </c>
      <c r="H136"/>
      <c r="I136" t="s">
        <v>42</v>
      </c>
      <c r="J136"/>
      <c r="K136" t="s">
        <v>165</v>
      </c>
      <c r="L136"/>
      <c r="M136"/>
      <c r="N136">
        <v>30</v>
      </c>
      <c r="O136">
        <v>2</v>
      </c>
      <c r="P136"/>
      <c r="Q136">
        <v>3</v>
      </c>
      <c r="R136">
        <v>1</v>
      </c>
      <c r="S136">
        <v>4</v>
      </c>
      <c r="T136"/>
      <c r="U136"/>
      <c r="V136" t="s">
        <v>361</v>
      </c>
      <c r="W136"/>
      <c r="X136"/>
      <c r="Y136"/>
      <c r="Z136"/>
      <c r="AA136"/>
      <c r="AB136"/>
      <c r="AC136"/>
      <c r="AD136"/>
      <c r="AE136"/>
      <c r="AF136"/>
      <c r="AG136"/>
      <c r="AH136"/>
      <c r="AI136"/>
      <c r="AJ136"/>
      <c r="AK136"/>
      <c r="AL136"/>
      <c r="AM136"/>
      <c r="AN136"/>
    </row>
    <row r="137" spans="1:40" ht="15">
      <c r="A137"/>
      <c r="B137"/>
      <c r="C137"/>
      <c r="D137">
        <v>52</v>
      </c>
      <c r="E137">
        <v>2</v>
      </c>
      <c r="F137"/>
      <c r="G137" t="s">
        <v>362</v>
      </c>
      <c r="H137"/>
      <c r="I137" t="s">
        <v>43</v>
      </c>
      <c r="J137"/>
      <c r="K137" t="s">
        <v>104</v>
      </c>
      <c r="L137"/>
      <c r="M137"/>
      <c r="N137"/>
      <c r="O137">
        <v>3</v>
      </c>
      <c r="P137"/>
      <c r="Q137"/>
      <c r="R137"/>
      <c r="S137"/>
      <c r="T137">
        <v>1</v>
      </c>
      <c r="U137"/>
      <c r="V137" t="s">
        <v>363</v>
      </c>
      <c r="W137"/>
      <c r="X137"/>
      <c r="Y137"/>
      <c r="Z137"/>
      <c r="AA137"/>
      <c r="AB137"/>
      <c r="AC137"/>
      <c r="AD137"/>
      <c r="AE137"/>
      <c r="AF137"/>
      <c r="AG137"/>
      <c r="AH137"/>
      <c r="AI137"/>
      <c r="AJ137"/>
      <c r="AK137"/>
      <c r="AL137"/>
      <c r="AM137"/>
      <c r="AN137"/>
    </row>
    <row r="138" spans="1:40" ht="15">
      <c r="A138"/>
      <c r="B138"/>
      <c r="C138"/>
      <c r="D138">
        <v>53</v>
      </c>
      <c r="E138">
        <v>2</v>
      </c>
      <c r="F138"/>
      <c r="G138" t="s">
        <v>364</v>
      </c>
      <c r="H138"/>
      <c r="I138" t="s">
        <v>129</v>
      </c>
      <c r="J138"/>
      <c r="K138"/>
      <c r="L138"/>
      <c r="M138"/>
      <c r="N138"/>
      <c r="O138"/>
      <c r="P138"/>
      <c r="Q138"/>
      <c r="R138"/>
      <c r="S138"/>
      <c r="T138"/>
      <c r="U138"/>
      <c r="V138" t="s">
        <v>367</v>
      </c>
      <c r="W138"/>
      <c r="X138"/>
      <c r="Y138"/>
      <c r="Z138"/>
      <c r="AA138"/>
      <c r="AB138"/>
      <c r="AC138"/>
      <c r="AD138"/>
      <c r="AE138"/>
      <c r="AF138"/>
      <c r="AG138"/>
      <c r="AH138"/>
      <c r="AI138"/>
      <c r="AJ138"/>
      <c r="AK138"/>
      <c r="AL138"/>
      <c r="AM138"/>
      <c r="AN138"/>
    </row>
    <row r="139" spans="1:40" ht="1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row>
    <row r="732" spans="14:19">
      <c r="N732" s="47"/>
      <c r="O732" s="48"/>
      <c r="P732" s="49"/>
      <c r="Q732" s="50"/>
      <c r="R732" s="51"/>
      <c r="S732" s="52"/>
    </row>
    <row r="733" spans="14:19">
      <c r="N733" s="47"/>
      <c r="O733" s="48"/>
      <c r="P733" s="49"/>
      <c r="Q733" s="50"/>
      <c r="R733" s="51"/>
      <c r="S733" s="52"/>
    </row>
    <row r="734" spans="14:19">
      <c r="N734" s="47"/>
      <c r="O734" s="48"/>
      <c r="P734" s="49"/>
      <c r="Q734" s="50"/>
      <c r="R734" s="51"/>
      <c r="S734" s="52"/>
    </row>
    <row r="735" spans="14:19">
      <c r="N735" s="47"/>
      <c r="O735" s="48"/>
      <c r="P735" s="49"/>
      <c r="Q735" s="50"/>
      <c r="R735" s="51"/>
      <c r="S735" s="52"/>
    </row>
    <row r="736" spans="14:19">
      <c r="N736" s="47"/>
      <c r="O736" s="48"/>
      <c r="P736" s="49"/>
      <c r="Q736" s="50"/>
      <c r="R736" s="51"/>
      <c r="S736" s="52"/>
    </row>
    <row r="737" spans="14:19">
      <c r="N737" s="47"/>
      <c r="O737" s="48"/>
      <c r="P737" s="49"/>
      <c r="Q737" s="50"/>
      <c r="R737" s="51"/>
      <c r="S737" s="52"/>
    </row>
    <row r="738" spans="14:19">
      <c r="N738" s="47"/>
      <c r="O738" s="48"/>
      <c r="P738" s="49"/>
      <c r="Q738" s="50"/>
      <c r="R738" s="51"/>
      <c r="S738" s="52"/>
    </row>
    <row r="739" spans="14:19">
      <c r="N739" s="47"/>
      <c r="O739" s="48"/>
      <c r="P739" s="49"/>
      <c r="Q739" s="50"/>
      <c r="R739" s="51"/>
      <c r="S739" s="52"/>
    </row>
    <row r="740" spans="14:19">
      <c r="N740" s="47"/>
      <c r="O740" s="48"/>
      <c r="P740" s="49"/>
      <c r="Q740" s="50"/>
      <c r="R740" s="51"/>
      <c r="S740" s="52"/>
    </row>
    <row r="741" spans="14:19">
      <c r="N741" s="47"/>
      <c r="O741" s="48"/>
      <c r="P741" s="49"/>
      <c r="Q741" s="50"/>
      <c r="R741" s="51"/>
      <c r="S741" s="52"/>
    </row>
    <row r="742" spans="14:19">
      <c r="N742" s="47"/>
      <c r="O742" s="48"/>
      <c r="P742" s="49"/>
      <c r="Q742" s="50"/>
      <c r="R742" s="51"/>
      <c r="S742" s="52"/>
    </row>
    <row r="743" spans="14:19">
      <c r="N743" s="47"/>
      <c r="O743" s="48"/>
      <c r="P743" s="49"/>
      <c r="Q743" s="50"/>
      <c r="R743" s="51"/>
      <c r="S743" s="52"/>
    </row>
    <row r="744" spans="14:19">
      <c r="N744" s="47"/>
      <c r="O744" s="48"/>
      <c r="P744" s="49"/>
      <c r="Q744" s="50"/>
      <c r="R744" s="51"/>
      <c r="S744" s="52"/>
    </row>
    <row r="745" spans="14:19">
      <c r="N745" s="47"/>
      <c r="O745" s="48"/>
      <c r="P745" s="49"/>
      <c r="Q745" s="50"/>
      <c r="R745" s="51"/>
      <c r="S745" s="52"/>
    </row>
    <row r="746" spans="14:19">
      <c r="N746" s="47"/>
      <c r="O746" s="48"/>
      <c r="P746" s="49"/>
      <c r="Q746" s="50"/>
      <c r="R746" s="51"/>
      <c r="S746" s="52"/>
    </row>
    <row r="747" spans="14:19">
      <c r="N747" s="47"/>
      <c r="O747" s="48"/>
      <c r="P747" s="49"/>
      <c r="Q747" s="50"/>
      <c r="R747" s="51"/>
      <c r="S747" s="52"/>
    </row>
    <row r="748" spans="14:19">
      <c r="N748" s="47"/>
      <c r="O748" s="48"/>
      <c r="P748" s="49"/>
      <c r="Q748" s="50"/>
      <c r="R748" s="51"/>
      <c r="S748" s="52"/>
    </row>
    <row r="749" spans="14:19">
      <c r="N749" s="47"/>
      <c r="O749" s="48"/>
      <c r="P749" s="49"/>
      <c r="Q749" s="50"/>
      <c r="R749" s="51"/>
      <c r="S749" s="52"/>
    </row>
    <row r="750" spans="14:19">
      <c r="N750" s="47"/>
      <c r="O750" s="48"/>
      <c r="P750" s="49"/>
      <c r="Q750" s="50"/>
      <c r="R750" s="51"/>
      <c r="S750" s="52"/>
    </row>
    <row r="751" spans="14:19">
      <c r="N751" s="47"/>
      <c r="O751" s="48"/>
      <c r="P751" s="49"/>
      <c r="Q751" s="50"/>
      <c r="R751" s="51"/>
      <c r="S751" s="52"/>
    </row>
    <row r="752" spans="14:19">
      <c r="N752" s="47"/>
      <c r="O752" s="48"/>
      <c r="P752" s="49"/>
      <c r="Q752" s="50"/>
      <c r="R752" s="51"/>
      <c r="S752" s="52"/>
    </row>
    <row r="753" spans="14:19">
      <c r="N753" s="47"/>
      <c r="O753" s="48"/>
      <c r="P753" s="49"/>
      <c r="Q753" s="50"/>
      <c r="R753" s="51"/>
      <c r="S753" s="52"/>
    </row>
    <row r="754" spans="14:19">
      <c r="N754" s="47"/>
      <c r="O754" s="48"/>
      <c r="P754" s="49"/>
      <c r="Q754" s="50"/>
      <c r="R754" s="51"/>
      <c r="S754" s="52"/>
    </row>
    <row r="755" spans="14:19">
      <c r="N755" s="47"/>
      <c r="O755" s="48"/>
      <c r="P755" s="49"/>
      <c r="Q755" s="50"/>
      <c r="R755" s="51"/>
      <c r="S755" s="52"/>
    </row>
    <row r="756" spans="14:19">
      <c r="N756" s="47"/>
      <c r="O756" s="48"/>
      <c r="P756" s="49"/>
      <c r="Q756" s="50"/>
      <c r="R756" s="51"/>
      <c r="S756" s="52"/>
    </row>
    <row r="757" spans="14:19">
      <c r="N757" s="47"/>
      <c r="O757" s="48"/>
      <c r="P757" s="49"/>
      <c r="Q757" s="50"/>
      <c r="R757" s="51"/>
      <c r="S757" s="52"/>
    </row>
    <row r="758" spans="14:19">
      <c r="N758" s="47"/>
      <c r="O758" s="48"/>
      <c r="P758" s="49"/>
      <c r="Q758" s="50"/>
      <c r="R758" s="51"/>
      <c r="S758" s="52"/>
    </row>
    <row r="759" spans="14:19">
      <c r="N759" s="47"/>
      <c r="O759" s="48"/>
      <c r="P759" s="49"/>
      <c r="Q759" s="50"/>
      <c r="R759" s="51"/>
      <c r="S759" s="52"/>
    </row>
    <row r="760" spans="14:19">
      <c r="N760" s="47"/>
      <c r="O760" s="48"/>
      <c r="P760" s="49"/>
      <c r="Q760" s="50"/>
      <c r="R760" s="51"/>
      <c r="S760" s="52"/>
    </row>
    <row r="761" spans="14:19">
      <c r="N761" s="47"/>
      <c r="O761" s="48"/>
      <c r="P761" s="49"/>
      <c r="Q761" s="50"/>
      <c r="R761" s="51"/>
      <c r="S761" s="52"/>
    </row>
    <row r="762" spans="14:19">
      <c r="N762" s="47"/>
      <c r="O762" s="48"/>
      <c r="P762" s="49"/>
      <c r="Q762" s="50"/>
      <c r="R762" s="51"/>
      <c r="S762" s="52"/>
    </row>
    <row r="763" spans="14:19">
      <c r="N763" s="47"/>
      <c r="O763" s="48"/>
      <c r="P763" s="49"/>
      <c r="Q763" s="50"/>
      <c r="R763" s="51"/>
      <c r="S763" s="52"/>
    </row>
    <row r="769" spans="14:19">
      <c r="N769" s="47"/>
      <c r="O769" s="48"/>
      <c r="P769" s="49"/>
      <c r="Q769" s="50"/>
      <c r="R769" s="51"/>
      <c r="S769" s="52"/>
    </row>
    <row r="770" spans="14:19">
      <c r="N770" s="47"/>
      <c r="O770" s="48"/>
      <c r="P770" s="49"/>
      <c r="Q770" s="50"/>
      <c r="R770" s="51"/>
      <c r="S770" s="52"/>
    </row>
    <row r="771" spans="14:19">
      <c r="N771" s="47"/>
      <c r="O771" s="48"/>
      <c r="P771" s="49"/>
      <c r="Q771" s="50"/>
      <c r="R771" s="51"/>
      <c r="S771" s="52"/>
    </row>
    <row r="772" spans="14:19">
      <c r="N772" s="47"/>
      <c r="O772" s="48"/>
      <c r="P772" s="49"/>
      <c r="Q772" s="50"/>
      <c r="R772" s="51"/>
      <c r="S772" s="52"/>
    </row>
    <row r="773" spans="14:19">
      <c r="N773" s="47"/>
      <c r="O773" s="48"/>
      <c r="P773" s="49"/>
      <c r="Q773" s="50"/>
      <c r="R773" s="51"/>
      <c r="S773" s="52"/>
    </row>
    <row r="774" spans="14:19">
      <c r="N774" s="47"/>
      <c r="O774" s="48"/>
      <c r="P774" s="49"/>
      <c r="Q774" s="50"/>
      <c r="R774" s="51"/>
      <c r="S774" s="52"/>
    </row>
    <row r="775" spans="14:19">
      <c r="N775" s="47"/>
      <c r="O775" s="48"/>
      <c r="P775" s="49"/>
      <c r="Q775" s="50"/>
      <c r="R775" s="51"/>
      <c r="S775" s="52"/>
    </row>
    <row r="776" spans="14:19">
      <c r="N776" s="47"/>
      <c r="O776" s="48"/>
      <c r="P776" s="49"/>
      <c r="Q776" s="50"/>
      <c r="R776" s="51"/>
      <c r="S776" s="52"/>
    </row>
    <row r="777" spans="14:19">
      <c r="N777" s="47"/>
      <c r="O777" s="48"/>
      <c r="P777" s="49"/>
      <c r="Q777" s="50"/>
      <c r="R777" s="51"/>
      <c r="S777" s="52"/>
    </row>
    <row r="778" spans="14:19">
      <c r="N778" s="47"/>
      <c r="O778" s="48"/>
      <c r="P778" s="49"/>
      <c r="Q778" s="50"/>
      <c r="R778" s="51"/>
      <c r="S778" s="52"/>
    </row>
    <row r="779" spans="14:19">
      <c r="N779" s="47"/>
      <c r="O779" s="48"/>
      <c r="P779" s="49"/>
      <c r="Q779" s="50"/>
      <c r="R779" s="51"/>
      <c r="S779" s="52"/>
    </row>
    <row r="780" spans="14:19">
      <c r="N780" s="47"/>
      <c r="O780" s="48"/>
      <c r="P780" s="49"/>
      <c r="Q780" s="50"/>
      <c r="R780" s="51"/>
      <c r="S780" s="52"/>
    </row>
    <row r="781" spans="14:19">
      <c r="N781" s="47"/>
      <c r="O781" s="48"/>
      <c r="P781" s="49"/>
      <c r="Q781" s="50"/>
      <c r="R781" s="51"/>
      <c r="S781" s="52"/>
    </row>
    <row r="784" spans="14:19">
      <c r="N784" s="47"/>
      <c r="O784" s="48"/>
      <c r="P784" s="49"/>
      <c r="Q784" s="50"/>
      <c r="R784" s="51"/>
      <c r="S784" s="52"/>
    </row>
    <row r="785" spans="14:19">
      <c r="N785" s="47"/>
      <c r="O785" s="48"/>
      <c r="P785" s="49"/>
      <c r="Q785" s="50"/>
      <c r="R785" s="51"/>
      <c r="S785" s="52"/>
    </row>
    <row r="786" spans="14:19">
      <c r="N786" s="47"/>
      <c r="O786" s="48"/>
      <c r="P786" s="49"/>
      <c r="Q786" s="50"/>
      <c r="R786" s="51"/>
      <c r="S786" s="52"/>
    </row>
    <row r="790" spans="14:19">
      <c r="N790" s="47"/>
      <c r="O790" s="48"/>
      <c r="P790" s="49"/>
      <c r="Q790" s="50"/>
      <c r="R790" s="51"/>
      <c r="S790" s="52"/>
    </row>
    <row r="791" spans="14:19">
      <c r="N791" s="47"/>
      <c r="O791" s="48"/>
      <c r="P791" s="49"/>
      <c r="Q791" s="50"/>
      <c r="R791" s="51"/>
      <c r="S791" s="52"/>
    </row>
    <row r="792" spans="14:19">
      <c r="N792" s="47"/>
      <c r="O792" s="48"/>
      <c r="P792" s="49"/>
      <c r="Q792" s="50"/>
      <c r="R792" s="51"/>
      <c r="S792" s="52"/>
    </row>
    <row r="793" spans="14:19">
      <c r="N793" s="47"/>
      <c r="O793" s="48"/>
      <c r="P793" s="49"/>
      <c r="Q793" s="50"/>
      <c r="R793" s="51"/>
      <c r="S793" s="52"/>
    </row>
    <row r="794" spans="14:19">
      <c r="N794" s="47"/>
      <c r="O794" s="48"/>
      <c r="P794" s="49"/>
      <c r="Q794" s="50"/>
      <c r="R794" s="51"/>
      <c r="S794" s="52"/>
    </row>
    <row r="795" spans="14:19">
      <c r="N795" s="47"/>
      <c r="O795" s="48"/>
      <c r="P795" s="49"/>
      <c r="Q795" s="50"/>
      <c r="R795" s="51"/>
      <c r="S795" s="52"/>
    </row>
    <row r="796" spans="14:19">
      <c r="N796" s="47"/>
      <c r="O796" s="48"/>
      <c r="P796" s="49"/>
      <c r="Q796" s="50"/>
      <c r="R796" s="51"/>
      <c r="S796" s="52"/>
    </row>
    <row r="797" spans="14:19">
      <c r="N797" s="47"/>
      <c r="O797" s="48"/>
      <c r="P797" s="49"/>
      <c r="Q797" s="50"/>
      <c r="R797" s="51"/>
      <c r="S797" s="52"/>
    </row>
    <row r="798" spans="14:19">
      <c r="N798" s="47"/>
      <c r="O798" s="48"/>
      <c r="P798" s="49"/>
      <c r="Q798" s="50"/>
      <c r="R798" s="51"/>
      <c r="S798" s="52"/>
    </row>
    <row r="800" spans="14:19">
      <c r="N800" s="47"/>
      <c r="O800" s="48"/>
      <c r="P800" s="49"/>
      <c r="Q800" s="50"/>
      <c r="R800" s="51"/>
      <c r="S800" s="52"/>
    </row>
    <row r="801" spans="14:19">
      <c r="N801" s="47"/>
      <c r="O801" s="48"/>
      <c r="P801" s="49"/>
      <c r="Q801" s="50"/>
      <c r="R801" s="51"/>
      <c r="S801" s="52"/>
    </row>
    <row r="805" spans="14:19">
      <c r="N805" s="47"/>
      <c r="O805" s="48"/>
      <c r="P805" s="49"/>
      <c r="Q805" s="50"/>
      <c r="R805" s="51"/>
      <c r="S805" s="52"/>
    </row>
    <row r="807" spans="14:19">
      <c r="N807" s="47"/>
      <c r="O807" s="48"/>
      <c r="P807" s="49"/>
      <c r="Q807" s="50"/>
      <c r="R807" s="51"/>
      <c r="S807" s="52"/>
    </row>
    <row r="808" spans="14:19">
      <c r="N808" s="47"/>
      <c r="O808" s="48"/>
      <c r="P808" s="49"/>
      <c r="Q808" s="50"/>
      <c r="R808" s="51"/>
      <c r="S808" s="52"/>
    </row>
    <row r="809" spans="14:19">
      <c r="N809" s="47"/>
      <c r="O809" s="48"/>
      <c r="P809" s="49"/>
      <c r="Q809" s="50"/>
      <c r="R809" s="51"/>
      <c r="S809" s="52"/>
    </row>
    <row r="811" spans="14:19">
      <c r="N811" s="47"/>
      <c r="O811" s="48"/>
      <c r="P811" s="49"/>
      <c r="Q811" s="50"/>
      <c r="R811" s="51"/>
      <c r="S811" s="52"/>
    </row>
    <row r="813" spans="14:19">
      <c r="N813" s="47"/>
      <c r="O813" s="48"/>
      <c r="P813" s="49"/>
      <c r="Q813" s="50"/>
      <c r="R813" s="51"/>
      <c r="S813" s="52"/>
    </row>
    <row r="814" spans="14:19">
      <c r="N814" s="47"/>
      <c r="O814" s="48"/>
      <c r="P814" s="49"/>
      <c r="Q814" s="50"/>
      <c r="R814" s="51"/>
      <c r="S814" s="52"/>
    </row>
    <row r="819" spans="14:19">
      <c r="N819" s="47"/>
      <c r="O819" s="48"/>
      <c r="P819" s="49"/>
      <c r="Q819" s="50"/>
      <c r="R819" s="51"/>
      <c r="S819" s="52"/>
    </row>
    <row r="1007" spans="20:20">
      <c r="T1007" s="53"/>
    </row>
    <row r="1008" spans="20:20">
      <c r="T1008" s="53"/>
    </row>
    <row r="1009" spans="20:20">
      <c r="T1009" s="53"/>
    </row>
    <row r="1010" spans="20:20">
      <c r="T1010" s="53"/>
    </row>
    <row r="1011" spans="20:20">
      <c r="T1011" s="53"/>
    </row>
    <row r="1012" spans="20:20">
      <c r="T1012" s="53"/>
    </row>
    <row r="1013" spans="20:20">
      <c r="T1013" s="53"/>
    </row>
    <row r="1014" spans="20:20">
      <c r="T1014" s="53"/>
    </row>
    <row r="1015" spans="20:20">
      <c r="T1015" s="53"/>
    </row>
    <row r="1016" spans="20:20">
      <c r="T1016" s="53"/>
    </row>
    <row r="1017" spans="20:20">
      <c r="T1017" s="53"/>
    </row>
    <row r="1018" spans="20:20">
      <c r="T1018" s="53"/>
    </row>
    <row r="1019" spans="20:20">
      <c r="T1019" s="53"/>
    </row>
    <row r="1020" spans="20:20">
      <c r="T1020" s="53"/>
    </row>
    <row r="1021" spans="20:20">
      <c r="T1021" s="53"/>
    </row>
    <row r="1022" spans="20:20">
      <c r="T1022" s="53"/>
    </row>
    <row r="1023" spans="20:20">
      <c r="T1023" s="53"/>
    </row>
    <row r="1024" spans="20:20">
      <c r="T1024" s="53"/>
    </row>
    <row r="1025" spans="20:20">
      <c r="T1025" s="53"/>
    </row>
    <row r="1026" spans="20:20">
      <c r="T1026" s="53"/>
    </row>
    <row r="1027" spans="20:20">
      <c r="T1027" s="53"/>
    </row>
    <row r="1028" spans="20:20">
      <c r="T1028" s="53"/>
    </row>
    <row r="1029" spans="20:20">
      <c r="T1029" s="53"/>
    </row>
    <row r="1733" spans="14:19">
      <c r="N1733" s="54"/>
      <c r="O1733" s="55"/>
      <c r="P1733" s="56"/>
      <c r="Q1733" s="57"/>
      <c r="R1733" s="58"/>
      <c r="S1733" s="59"/>
    </row>
    <row r="1734" spans="14:19">
      <c r="N1734" s="54"/>
      <c r="O1734" s="55"/>
      <c r="P1734" s="56"/>
      <c r="Q1734" s="57"/>
      <c r="R1734" s="58"/>
      <c r="S1734" s="59"/>
    </row>
    <row r="1735" spans="14:19">
      <c r="N1735" s="54"/>
      <c r="O1735" s="55"/>
      <c r="P1735" s="56"/>
      <c r="Q1735" s="57"/>
      <c r="R1735" s="58"/>
      <c r="S1735" s="59"/>
    </row>
    <row r="1736" spans="14:19">
      <c r="N1736" s="54"/>
      <c r="O1736" s="55"/>
      <c r="P1736" s="56"/>
      <c r="Q1736" s="57"/>
      <c r="R1736" s="58"/>
      <c r="S1736" s="59"/>
    </row>
    <row r="1737" spans="14:19">
      <c r="N1737" s="54"/>
      <c r="O1737" s="55"/>
      <c r="P1737" s="56"/>
      <c r="Q1737" s="57"/>
      <c r="R1737" s="58"/>
      <c r="S1737" s="59"/>
    </row>
    <row r="1738" spans="14:19">
      <c r="N1738" s="54"/>
      <c r="O1738" s="55"/>
      <c r="P1738" s="56"/>
      <c r="Q1738" s="57"/>
      <c r="R1738" s="58"/>
      <c r="S1738" s="59"/>
    </row>
    <row r="1739" spans="14:19">
      <c r="N1739" s="54"/>
      <c r="O1739" s="55"/>
      <c r="P1739" s="56"/>
      <c r="Q1739" s="57"/>
      <c r="R1739" s="58"/>
      <c r="S1739" s="59"/>
    </row>
    <row r="1740" spans="14:19">
      <c r="N1740" s="54"/>
      <c r="O1740" s="55"/>
      <c r="P1740" s="56"/>
      <c r="Q1740" s="57"/>
      <c r="R1740" s="58"/>
      <c r="S1740" s="59"/>
    </row>
    <row r="1741" spans="14:19">
      <c r="N1741" s="54"/>
      <c r="O1741" s="55"/>
      <c r="P1741" s="56"/>
      <c r="Q1741" s="57"/>
      <c r="R1741" s="58"/>
      <c r="S1741" s="59"/>
    </row>
    <row r="1742" spans="14:19">
      <c r="N1742" s="54"/>
      <c r="O1742" s="55"/>
      <c r="P1742" s="56"/>
      <c r="Q1742" s="57"/>
      <c r="R1742" s="58"/>
      <c r="S1742" s="59"/>
    </row>
    <row r="1743" spans="14:19">
      <c r="N1743" s="54"/>
      <c r="O1743" s="55"/>
      <c r="P1743" s="56"/>
      <c r="Q1743" s="57"/>
      <c r="R1743" s="58"/>
      <c r="S1743" s="59"/>
    </row>
    <row r="1744" spans="14:19">
      <c r="N1744" s="54"/>
      <c r="O1744" s="55"/>
      <c r="P1744" s="56"/>
      <c r="Q1744" s="57"/>
      <c r="R1744" s="58"/>
      <c r="S1744" s="59"/>
    </row>
    <row r="1745" spans="14:19">
      <c r="N1745" s="54"/>
      <c r="O1745" s="55"/>
      <c r="P1745" s="56"/>
      <c r="Q1745" s="57"/>
      <c r="R1745" s="58"/>
      <c r="S1745" s="59"/>
    </row>
    <row r="1746" spans="14:19">
      <c r="N1746" s="54"/>
      <c r="O1746" s="55"/>
      <c r="P1746" s="56"/>
      <c r="Q1746" s="57"/>
      <c r="R1746" s="58"/>
      <c r="S1746" s="59"/>
    </row>
    <row r="1747" spans="14:19">
      <c r="N1747" s="54"/>
      <c r="O1747" s="55"/>
      <c r="P1747" s="56"/>
      <c r="Q1747" s="57"/>
      <c r="R1747" s="58"/>
      <c r="S1747" s="59"/>
    </row>
    <row r="1748" spans="14:19">
      <c r="N1748" s="54"/>
      <c r="O1748" s="55"/>
      <c r="P1748" s="56"/>
      <c r="Q1748" s="57"/>
      <c r="R1748" s="58"/>
      <c r="S1748" s="59"/>
    </row>
    <row r="1749" spans="14:19">
      <c r="N1749" s="54"/>
      <c r="O1749" s="55"/>
      <c r="P1749" s="56"/>
      <c r="Q1749" s="57"/>
      <c r="R1749" s="58"/>
      <c r="S1749" s="59"/>
    </row>
    <row r="1750" spans="14:19">
      <c r="N1750" s="54"/>
      <c r="O1750" s="55"/>
      <c r="P1750" s="56"/>
      <c r="Q1750" s="57"/>
      <c r="R1750" s="58"/>
      <c r="S1750" s="59"/>
    </row>
    <row r="1751" spans="14:19">
      <c r="N1751" s="54"/>
      <c r="O1751" s="55"/>
      <c r="P1751" s="56"/>
      <c r="Q1751" s="57"/>
      <c r="R1751" s="58"/>
      <c r="S1751" s="59"/>
    </row>
    <row r="1752" spans="14:19">
      <c r="N1752" s="54"/>
      <c r="O1752" s="55"/>
      <c r="P1752" s="56"/>
      <c r="Q1752" s="57"/>
      <c r="R1752" s="58"/>
      <c r="S1752" s="59"/>
    </row>
    <row r="1753" spans="14:19">
      <c r="N1753" s="54"/>
      <c r="O1753" s="55"/>
      <c r="P1753" s="56"/>
      <c r="Q1753" s="57"/>
      <c r="R1753" s="58"/>
      <c r="S1753" s="59"/>
    </row>
  </sheetData>
  <sortState ref="A2:AP302">
    <sortCondition ref="C2:C302"/>
    <sortCondition ref="D2:D302"/>
  </sortState>
  <conditionalFormatting sqref="J1:J4 J12:J1048576">
    <cfRule type="cellIs" dxfId="55" priority="120" operator="equal">
      <formula>"Fellowship"</formula>
    </cfRule>
    <cfRule type="cellIs" dxfId="54" priority="121" operator="equal">
      <formula>"Neutral"</formula>
    </cfRule>
    <cfRule type="cellIs" dxfId="53" priority="122" operator="equal">
      <formula>"Baggins"</formula>
    </cfRule>
    <cfRule type="cellIs" dxfId="52" priority="123" operator="equal">
      <formula>"Lore"</formula>
    </cfRule>
    <cfRule type="cellIs" dxfId="51" priority="124" operator="equal">
      <formula>"Spirit"</formula>
    </cfRule>
    <cfRule type="cellIs" dxfId="50" priority="125" operator="equal">
      <formula>"Tactics"</formula>
    </cfRule>
    <cfRule type="cellIs" dxfId="49" priority="126" operator="equal">
      <formula>"Leadership"</formula>
    </cfRule>
  </conditionalFormatting>
  <conditionalFormatting sqref="AB1">
    <cfRule type="cellIs" dxfId="48" priority="92" operator="equal">
      <formula>"Fellowship"</formula>
    </cfRule>
    <cfRule type="cellIs" dxfId="47" priority="93" operator="equal">
      <formula>"Neutral"</formula>
    </cfRule>
    <cfRule type="cellIs" dxfId="46" priority="94" operator="equal">
      <formula>"Baggins"</formula>
    </cfRule>
    <cfRule type="cellIs" dxfId="45" priority="95" operator="equal">
      <formula>"Lore"</formula>
    </cfRule>
    <cfRule type="cellIs" dxfId="44" priority="96" operator="equal">
      <formula>"Spirit"</formula>
    </cfRule>
    <cfRule type="cellIs" dxfId="43" priority="97" operator="equal">
      <formula>"Tactics"</formula>
    </cfRule>
    <cfRule type="cellIs" dxfId="42" priority="98" operator="equal">
      <formula>"Leadership"</formula>
    </cfRule>
  </conditionalFormatting>
  <conditionalFormatting sqref="AB1">
    <cfRule type="cellIs" dxfId="41" priority="85" operator="equal">
      <formula>"Fellowship"</formula>
    </cfRule>
    <cfRule type="cellIs" dxfId="40" priority="86" operator="equal">
      <formula>"Neutral"</formula>
    </cfRule>
    <cfRule type="cellIs" dxfId="39" priority="87" operator="equal">
      <formula>"Baggins"</formula>
    </cfRule>
    <cfRule type="cellIs" dxfId="38" priority="88" operator="equal">
      <formula>"Lore"</formula>
    </cfRule>
    <cfRule type="cellIs" dxfId="37" priority="89" operator="equal">
      <formula>"Spirit"</formula>
    </cfRule>
    <cfRule type="cellIs" dxfId="36" priority="90" operator="equal">
      <formula>"Tactics"</formula>
    </cfRule>
    <cfRule type="cellIs" dxfId="35" priority="91" operator="equal">
      <formula>"Leadership"</formula>
    </cfRule>
  </conditionalFormatting>
  <conditionalFormatting sqref="J5">
    <cfRule type="cellIs" dxfId="34" priority="43" operator="equal">
      <formula>"Fellowship"</formula>
    </cfRule>
    <cfRule type="cellIs" dxfId="33" priority="44" operator="equal">
      <formula>"Neutral"</formula>
    </cfRule>
    <cfRule type="cellIs" dxfId="32" priority="45" operator="equal">
      <formula>"Baggins"</formula>
    </cfRule>
    <cfRule type="cellIs" dxfId="31" priority="46" operator="equal">
      <formula>"Lore"</formula>
    </cfRule>
    <cfRule type="cellIs" dxfId="30" priority="47" operator="equal">
      <formula>"Spirit"</formula>
    </cfRule>
    <cfRule type="cellIs" dxfId="29" priority="48" operator="equal">
      <formula>"Tactics"</formula>
    </cfRule>
    <cfRule type="cellIs" dxfId="28" priority="49" operator="equal">
      <formula>"Leadership"</formula>
    </cfRule>
  </conditionalFormatting>
  <conditionalFormatting sqref="J6">
    <cfRule type="cellIs" dxfId="27" priority="36" operator="equal">
      <formula>"Fellowship"</formula>
    </cfRule>
    <cfRule type="cellIs" dxfId="26" priority="37" operator="equal">
      <formula>"Neutral"</formula>
    </cfRule>
    <cfRule type="cellIs" dxfId="25" priority="38" operator="equal">
      <formula>"Baggins"</formula>
    </cfRule>
    <cfRule type="cellIs" dxfId="24" priority="39" operator="equal">
      <formula>"Lore"</formula>
    </cfRule>
    <cfRule type="cellIs" dxfId="23" priority="40" operator="equal">
      <formula>"Spirit"</formula>
    </cfRule>
    <cfRule type="cellIs" dxfId="22" priority="41" operator="equal">
      <formula>"Tactics"</formula>
    </cfRule>
    <cfRule type="cellIs" dxfId="21" priority="42" operator="equal">
      <formula>"Leadership"</formula>
    </cfRule>
  </conditionalFormatting>
  <conditionalFormatting sqref="J8">
    <cfRule type="cellIs" dxfId="20" priority="22" operator="equal">
      <formula>"Fellowship"</formula>
    </cfRule>
    <cfRule type="cellIs" dxfId="19" priority="23" operator="equal">
      <formula>"Neutral"</formula>
    </cfRule>
    <cfRule type="cellIs" dxfId="18" priority="24" operator="equal">
      <formula>"Baggins"</formula>
    </cfRule>
    <cfRule type="cellIs" dxfId="17" priority="25" operator="equal">
      <formula>"Lore"</formula>
    </cfRule>
    <cfRule type="cellIs" dxfId="16" priority="26" operator="equal">
      <formula>"Spirit"</formula>
    </cfRule>
    <cfRule type="cellIs" dxfId="15" priority="27" operator="equal">
      <formula>"Tactics"</formula>
    </cfRule>
    <cfRule type="cellIs" dxfId="14" priority="28" operator="equal">
      <formula>"Leadership"</formula>
    </cfRule>
  </conditionalFormatting>
  <conditionalFormatting sqref="J7">
    <cfRule type="cellIs" dxfId="13" priority="15" operator="equal">
      <formula>"Fellowship"</formula>
    </cfRule>
    <cfRule type="cellIs" dxfId="12" priority="16" operator="equal">
      <formula>"Neutral"</formula>
    </cfRule>
    <cfRule type="cellIs" dxfId="11" priority="17" operator="equal">
      <formula>"Baggins"</formula>
    </cfRule>
    <cfRule type="cellIs" dxfId="10" priority="18" operator="equal">
      <formula>"Lore"</formula>
    </cfRule>
    <cfRule type="cellIs" dxfId="9" priority="19" operator="equal">
      <formula>"Spirit"</formula>
    </cfRule>
    <cfRule type="cellIs" dxfId="8" priority="20" operator="equal">
      <formula>"Tactics"</formula>
    </cfRule>
    <cfRule type="cellIs" dxfId="7" priority="21" operator="equal">
      <formula>"Leadership"</formula>
    </cfRule>
  </conditionalFormatting>
  <conditionalFormatting sqref="J9:J1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0</xdr:col>
                    <xdr:colOff>1647825</xdr:colOff>
                    <xdr:row>0</xdr:row>
                    <xdr:rowOff>552450</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457200</xdr:colOff>
                    <xdr:row>0</xdr:row>
                    <xdr:rowOff>171450</xdr:rowOff>
                  </from>
                  <to>
                    <xdr:col>1</xdr:col>
                    <xdr:colOff>1533525</xdr:colOff>
                    <xdr:row>0</xdr:row>
                    <xdr:rowOff>533400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2:C12"/>
  <sheetViews>
    <sheetView showGridLines="0" showRowColHeaders="0" workbookViewId="0">
      <selection activeCell="B5" sqref="B5"/>
    </sheetView>
  </sheetViews>
  <sheetFormatPr defaultRowHeight="15"/>
  <cols>
    <col min="2" max="2" width="4.85546875" bestFit="1" customWidth="1"/>
    <col min="3" max="3" width="12.140625" bestFit="1" customWidth="1"/>
  </cols>
  <sheetData>
    <row r="2" spans="2:3">
      <c r="B2" s="16" t="s">
        <v>58</v>
      </c>
      <c r="C2" t="s">
        <v>59</v>
      </c>
    </row>
    <row r="3" spans="2:3">
      <c r="B3" s="6" t="s">
        <v>60</v>
      </c>
      <c r="C3" t="s">
        <v>61</v>
      </c>
    </row>
    <row r="4" spans="2:3">
      <c r="B4" s="16" t="s">
        <v>62</v>
      </c>
      <c r="C4" t="s">
        <v>63</v>
      </c>
    </row>
    <row r="5" spans="2:3">
      <c r="B5" s="16" t="s">
        <v>64</v>
      </c>
      <c r="C5" t="s">
        <v>65</v>
      </c>
    </row>
    <row r="6" spans="2:3">
      <c r="B6" s="16" t="s">
        <v>66</v>
      </c>
      <c r="C6" t="s">
        <v>67</v>
      </c>
    </row>
    <row r="7" spans="2:3">
      <c r="B7" s="16" t="s">
        <v>68</v>
      </c>
      <c r="C7" t="s">
        <v>69</v>
      </c>
    </row>
    <row r="8" spans="2:3">
      <c r="B8" s="16" t="s">
        <v>70</v>
      </c>
      <c r="C8" t="s">
        <v>71</v>
      </c>
    </row>
    <row r="9" spans="2:3">
      <c r="B9" s="16" t="s">
        <v>72</v>
      </c>
      <c r="C9" t="s">
        <v>73</v>
      </c>
    </row>
    <row r="10" spans="2:3">
      <c r="B10" s="16" t="s">
        <v>74</v>
      </c>
      <c r="C10" t="s">
        <v>75</v>
      </c>
    </row>
    <row r="11" spans="2:3">
      <c r="B11" s="16" t="s">
        <v>76</v>
      </c>
      <c r="C11" t="s">
        <v>77</v>
      </c>
    </row>
    <row r="12" spans="2:3">
      <c r="B12" s="16"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Import</vt:lpstr>
      <vt:lpstr>IDS</vt:lpstr>
      <vt:lpstr>Imported Data</vt:lpstr>
      <vt:lpstr>Sets</vt:lpstr>
      <vt:lpstr>Card Data</vt:lpstr>
      <vt:lpstr>Special Characters</vt:lpstr>
      <vt:lpstr>GameGUID</vt:lpstr>
      <vt:lpstr>GameVersion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Chris</cp:lastModifiedBy>
  <dcterms:created xsi:type="dcterms:W3CDTF">2014-06-30T14:06:39Z</dcterms:created>
  <dcterms:modified xsi:type="dcterms:W3CDTF">2019-02-08T19:13:14Z</dcterms:modified>
</cp:coreProperties>
</file>