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1C831B03-8164-488F-8C06-62F920572C1D}" xr6:coauthVersionLast="41" xr6:coauthVersionMax="41" xr10:uidLastSave="{00000000-0000-0000-0000-000000000000}"/>
  <bookViews>
    <workbookView xWindow="28680" yWindow="-120" windowWidth="29040" windowHeight="15840" firstSheet="3" activeTab="4" xr2:uid="{00000000-000D-0000-FFFF-FFFF00000000}"/>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9"/>
  <definedNames>
    <definedName name="GameGUID">Sets!$A$1</definedName>
    <definedName name="GameVersion">Sets!$C$1</definedName>
  </definedNames>
  <calcPr calcId="191029"/>
  <pivotCaches>
    <pivotCache cacheId="0" r:id="rId7"/>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<sst xmlns="http://schemas.openxmlformats.org/spreadsheetml/2006/main" count="1190" uniqueCount="228">
  <si>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</si>
  <si>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</si>
  <si>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</si>
  <si>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</si>
  <si>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</si>
  <si>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</si>
  <si>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</si>
  <si>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</si>
  <si>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</si>
  <si>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</si>
  <si>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</si>
  <si>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</si>
  <si>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</si>
  <si>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</si>
  <si>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</si>
  <si>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</si>
  <si>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</si>
  <si>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</si>
  <si>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</si>
  <si>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</si>
  <si>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</si>
  <si>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</si>
  <si>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</si>
  <si>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</si>
  <si>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</si>
  <si>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</si>
  <si>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</si>
  <si>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</si>
  <si>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</si>
  <si>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</si>
  <si>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</si>
  <si>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</si>
  <si>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</si>
  <si>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</si>
  <si>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</si>
  <si>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</si>
  <si>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</si>
  <si>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</si>
  <si>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</si>
  <si>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</si>
  <si>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</si>
  <si>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</si>
  <si>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</si>
  <si>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</si>
  <si>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</si>
  <si>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</si>
  <si>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</si>
  <si>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</si>
  <si>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</si>
  <si>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</si>
  <si>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</si>
  <si>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</si>
  <si>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</si>
  <si>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</si>
  <si>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</si>
  <si>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</si>
  <si>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</si>
  <si>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</si>
  <si>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</si>
  <si>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</si>
  <si>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</si>
  <si>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</si>
  <si>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</si>
  <si>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</si>
  <si>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</si>
  <si>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</si>
  <si>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</si>
  <si>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</si>
  <si>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</si>
  <si>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</si>
  <si>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</si>
  <si>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</si>
  <si>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</si>
  <si>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</si>
  <si>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</si>
  <si>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</si>
  <si>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</si>
  <si>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</si>
  <si>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</si>
  <si>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</si>
  <si>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</si>
  <si>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</si>
  <si>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</si>
  <si>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</si>
  <si>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</si>
  <si>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</si>
  <si>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</si>
  <si>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</si>
  <si>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</si>
  <si>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</si>
  <si>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</si>
  <si>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</si>
  <si>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</si>
  <si>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</si>
  <si>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</si>
  <si>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</si>
  <si>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</si>
  <si>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</si>
  <si>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</si>
  <si>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</si>
  <si>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</si>
  <si>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</si>
  <si>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</si>
  <si>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</si>
  <si>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</si>
  <si>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</si>
  <si>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</si>
  <si>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</si>
  <si>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</si>
  <si>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</si>
  <si>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</si>
  <si>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</si>
  <si>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</si>
  <si>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</si>
  <si>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</si>
  <si>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</si>
  <si>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</si>
  <si>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</si>
  <si>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</si>
  <si>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</si>
  <si>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</si>
  <si>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</si>
  <si>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</si>
  <si>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</si>
  <si>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</si>
  <si>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</si>
  <si>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</si>
  <si>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</si>
  <si>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</si>
  <si>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</si>
  <si>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</si>
  <si>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</si>
  <si>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</si>
  <si>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</si>
  <si>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</si>
  <si>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</si>
  <si>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</si>
  <si>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</si>
  <si>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</si>
  <si>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</si>
  <si>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My Custom Set</t>
  </si>
  <si>
    <t>00000000-05d1-4216-8c22-06dcc958e7a3</t>
  </si>
  <si>
    <t>A</t>
  </si>
  <si>
    <t>Bilbo Baggins</t>
  </si>
  <si>
    <t xml:space="preserve">Hobbit. Burglar. </t>
  </si>
  <si>
    <t>Greenwood Defender</t>
  </si>
  <si>
    <t xml:space="preserve">Silvan. </t>
  </si>
  <si>
    <t xml:space="preserve">Response: After Greenwood Defender enters play, it does not exhaust to defend until the end of the round. </t>
  </si>
  <si>
    <t>Elf Guide</t>
  </si>
  <si>
    <t xml:space="preserve">Action: Return a Silvan ally you control to your hand to choose a hero. Add 1 resource to that hero’s pool. </t>
  </si>
  <si>
    <t>Gaffer Gamgee</t>
  </si>
  <si>
    <t xml:space="preserve">Hobbit. </t>
  </si>
  <si>
    <t xml:space="preserve">Combat Action: Return Gaffer Gamgee to your hand to choose an enemy with engagement cost higher than your threat. Until the end of the round, that enemy cannot attack you. </t>
  </si>
  <si>
    <t>Drinking Song</t>
  </si>
  <si>
    <t xml:space="preserve">Song. </t>
  </si>
  <si>
    <t xml:space="preserve">Action: Count the number of cards in your hand and shuffle your hand into your deck. Then, draw an equal number of cards. Draw 1 additional card if you control a unique Hobbit character. </t>
  </si>
  <si>
    <t>Sting</t>
  </si>
  <si>
    <t xml:space="preserve">Artifact. Item. Weapon. </t>
  </si>
  <si>
    <t>Round Shield</t>
  </si>
  <si>
    <t xml:space="preserve">Item. Armor. </t>
  </si>
  <si>
    <t>Erebor Toymaker</t>
  </si>
  <si>
    <t xml:space="preserve">Dwarf. Craftsman. </t>
  </si>
  <si>
    <t xml:space="preserve">Response: After you play Erebor Toymaker from your hand, reduce the cost of the next attachment played this phase by 2. </t>
  </si>
  <si>
    <t>Armor of Erebor</t>
  </si>
  <si>
    <t>The Shirefolk</t>
  </si>
  <si>
    <t xml:space="preserve">Play only if each of your heroes is a Hobbit. Action: Reduce your threat by 4. </t>
  </si>
  <si>
    <t xml:space="preserve">Mount Gundabad </t>
  </si>
  <si>
    <t>The First Forge</t>
  </si>
  <si>
    <t xml:space="preserve">Location </t>
  </si>
  <si>
    <t xml:space="preserve">Underground. </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</si>
  <si>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</si>
  <si>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</si>
  <si>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</si>
  <si>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</si>
  <si>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</si>
  <si>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</si>
  <si>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Dagnir</t>
  </si>
  <si>
    <t xml:space="preserve">Enemy </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</si>
  <si>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</si>
  <si>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</si>
  <si>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</si>
  <si>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Guardian of Gundabad</t>
  </si>
  <si>
    <t xml:space="preserve">Orc. Goblin. </t>
  </si>
  <si>
    <t>Dagnir’s Slave</t>
  </si>
  <si>
    <t xml:space="preserve">Dagnir cannot take damage from non-quest effects. </t>
  </si>
  <si>
    <t>Deep-dweller</t>
  </si>
  <si>
    <t xml:space="preserve">Creature. Spider. </t>
  </si>
  <si>
    <t xml:space="preserve">Forced: When Deep-dweller engages you, it makes an immediate attack. Forced: When Deep-dweller takes any amount of damage (and survives), return it to the staging area. </t>
  </si>
  <si>
    <t>Mines of Gundabad</t>
  </si>
  <si>
    <t>Deep.</t>
  </si>
  <si>
    <t xml:space="preserve">Dagnir gets –10 engagement cost. </t>
  </si>
  <si>
    <t xml:space="preserve">Shadow: If attacking enemy is Dagnir, the defending player must assign X damage among characters he controls, where X is 1 more than the number of quest cards in the victory display. </t>
  </si>
  <si>
    <t>Narrow Stair</t>
  </si>
  <si>
    <t xml:space="preserve">When faced with the option to travel, the players must travel to Narrow Stair. </t>
  </si>
  <si>
    <t xml:space="preserve">Shadow: Until the end of the round, defending character cannot be readied by player card effects. </t>
  </si>
  <si>
    <t>Desecrated Ruins</t>
  </si>
  <si>
    <t>Wilderland’s Bane</t>
  </si>
  <si>
    <t xml:space="preserve">Treachery </t>
  </si>
  <si>
    <t xml:space="preserve">When Revealed: Dagnir makes an immediate attack against each engaged player. If no attacks were made this way, Dagnir gets –30 engagement cost until the end of the round. </t>
  </si>
  <si>
    <t xml:space="preserve">Shadow: Attacking enemy makes an additional attack against you after this one. </t>
  </si>
  <si>
    <t>Suffocating Shadows</t>
  </si>
  <si>
    <t xml:space="preserve">When Revealed: Each player assigns X damage among allies he controls, where X is 1 more than the number of quest cards in the victory display. </t>
  </si>
  <si>
    <t>The Side Door</t>
  </si>
  <si>
    <t xml:space="preserve">Quest </t>
  </si>
  <si>
    <t>Exploring Gundabad</t>
  </si>
  <si>
    <t>Lukasz Jaskolski</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</si>
  <si>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</si>
  <si>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Guarded (enemy).  Attach to a Hobbit hero. Restricted. Attached hero gets +1 Ò, +1 Û, and +1 Ú. Response: After attached hero is declared as an attacker or defender against an enemy, deal 1 damage to that enemy.</t>
  </si>
  <si>
    <t xml:space="preserve">Attach to a character. Restricted. Response: After a shadow effect is triggered during combat, exhaust Round Shield to give attached character +2 Ú for this attack. </t>
  </si>
  <si>
    <t xml:space="preserve">Attach to a Dale or Dwarf character. Restricted. Attached character gets +1 Ú and gains sentinel. </t>
  </si>
  <si>
    <t xml:space="preserve">While there are 3 or more quest cards in the victory display, Guardian of Gundabad gets +2 Ú. </t>
  </si>
  <si>
    <t xml:space="preserve">Shadow: Attacking enemy gets +2 Ú until the end of the phase. </t>
  </si>
  <si>
    <t xml:space="preserve">Shadow: Attacking enemy gets +1Û (+2 Û instead if Dagnir is engaged with you). </t>
  </si>
  <si>
    <t xml:space="preserve">While there are 3 or more quest cards in the victory display, Desecrated Ruins gets +2 $. </t>
  </si>
  <si>
    <t xml:space="preserve">Shadow: Attacking enemy gets +1Û. If this attack destroys a character, each player discards a random card from his hand. </t>
  </si>
  <si>
    <t xml:space="preserve">Shadow: Attacking enemy gets +1Û (+3 Û instead if there are 3 or more quests in the victory display). </t>
  </si>
  <si>
    <t>3844dc9e-8235-4eda-8799-e18fe2af44d4</t>
  </si>
  <si>
    <t>be817106-0e2f-4fa2-a3ca-35c0dc21671f</t>
  </si>
  <si>
    <t>f1c81942-39e6-4107-ba02-e6d0b68e15be</t>
  </si>
  <si>
    <t>3ea6d276-cdff-4520-a590-9c79f57e5791</t>
  </si>
  <si>
    <t>3502e51b-bc7a-4e8c-81c7-dfc7b3c09cbc</t>
  </si>
  <si>
    <t>4c23f4d0-fbf4-4c07-bb1d-0f5507647e0f</t>
  </si>
  <si>
    <t>7ebbd831-3bd6-4d40-9d86-4b0a4e85ed57</t>
  </si>
  <si>
    <t>8b68c5b5-1e86-487f-9fca-3b47ce6c6a9d</t>
  </si>
  <si>
    <t>4c77565a-475e-4f57-9360-8f0a2916607f</t>
  </si>
  <si>
    <t>35acc13d-fc10-458f-bacb-99f4979956ce</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</si>
  <si>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</si>
  <si>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 xml:space="preserve">When Revealed: Return Dagnir to the staging area.
If Exploring Gundabad is the current main quest, do not flip it over until the beginning of the quest phase.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</si>
</sst>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sz val="11"/>
      <color rgb="FF000000"/>
      <name val="Calibri"/>
      <family val="2"/>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6">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58">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xf numFmtId="0" fontId="9" fillId="0" borderId="0" xfId="0" applyFont="1"/>
    <xf numFmtId="49" fontId="8" fillId="0" borderId="0" xfId="0" applyNumberFormat="1" applyFont="1"/>
    <xf numFmtId="0" fontId="0" fillId="0" borderId="0" xfId="0" quotePrefix="1"/>
    <xf numFmtId="0" fontId="10" fillId="2" borderId="0" xfId="0" applyFont="1" applyFill="1"/>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11" fillId="2" borderId="2" xfId="0" applyFont="1" applyFill="1" applyBorder="1"/>
    <xf numFmtId="0" fontId="12" fillId="0" borderId="2" xfId="0" applyFont="1" applyBorder="1" applyAlignment="1">
      <alignment horizontal="center"/>
    </xf>
    <xf numFmtId="0" fontId="13" fillId="0" borderId="2" xfId="0" applyFont="1" applyBorder="1" applyAlignment="1">
      <alignment horizontal="center"/>
    </xf>
    <xf numFmtId="0" fontId="11" fillId="2" borderId="2" xfId="0" applyFont="1" applyFill="1" applyBorder="1" applyAlignment="1">
      <alignment horizontal="center"/>
    </xf>
    <xf numFmtId="0" fontId="4" fillId="10" borderId="0" xfId="0" applyFont="1" applyFill="1"/>
    <xf numFmtId="0" fontId="4" fillId="10" borderId="0" xfId="0" applyFont="1" applyFill="1" applyAlignment="1">
      <alignment textRotation="180"/>
    </xf>
    <xf numFmtId="0" fontId="4" fillId="10" borderId="0" xfId="0" applyFont="1" applyFill="1" applyAlignment="1">
      <alignment wrapText="1"/>
    </xf>
    <xf numFmtId="0" fontId="4" fillId="10" borderId="1" xfId="0" applyFont="1" applyFill="1" applyBorder="1" applyAlignment="1">
      <alignment horizontal="center" textRotation="180"/>
    </xf>
    <xf numFmtId="0" fontId="4" fillId="10" borderId="1" xfId="0" applyFont="1" applyFill="1" applyBorder="1" applyAlignment="1">
      <alignment horizontal="center" textRotation="180" wrapText="1"/>
    </xf>
    <xf numFmtId="0" fontId="4" fillId="10" borderId="1" xfId="0" applyFont="1" applyFill="1" applyBorder="1" applyAlignment="1">
      <alignment textRotation="180"/>
    </xf>
    <xf numFmtId="11" fontId="6" fillId="0" borderId="0" xfId="0" applyNumberFormat="1" applyFont="1"/>
    <xf numFmtId="0" fontId="4" fillId="2" borderId="1" xfId="0"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4" fillId="2" borderId="0" xfId="0" applyFont="1" applyFill="1" applyAlignment="1">
      <alignment horizontal="center" textRotation="180"/>
    </xf>
    <xf numFmtId="0" fontId="6" fillId="0" borderId="0" xfId="0" applyFont="1" applyAlignment="1">
      <alignment horizontal="center"/>
    </xf>
    <xf numFmtId="0" fontId="11" fillId="2" borderId="2" xfId="0" applyFont="1" applyFill="1" applyBorder="1" applyAlignment="1">
      <alignment horizontal="center"/>
    </xf>
    <xf numFmtId="0" fontId="11" fillId="2" borderId="3" xfId="0" applyFont="1" applyFill="1" applyBorder="1" applyAlignment="1">
      <alignment horizontal="center"/>
    </xf>
    <xf numFmtId="0" fontId="11" fillId="2" borderId="4" xfId="0" applyFont="1" applyFill="1" applyBorder="1" applyAlignment="1">
      <alignment horizontal="center"/>
    </xf>
    <xf numFmtId="0" fontId="11" fillId="2" borderId="5" xfId="0" applyFont="1" applyFill="1" applyBorder="1" applyAlignment="1">
      <alignment horizontal="center"/>
    </xf>
    <xf numFmtId="0" fontId="0" fillId="0" borderId="0" xfId="0" applyAlignment="1">
      <alignment wrapText="1"/>
    </xf>
  </cellXfs>
  <cellStyles count="1">
    <cellStyle name="Normal" xfId="0" builtinId="0"/>
  </cellStyles>
  <dxfs count="9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Howard" refreshedDate="42063.572993865739" missingItemsLimit="0" createdVersion="3" refreshedVersion="5" minRefreshableVersion="3" recordCount="90" xr:uid="{00000000-000A-0000-FFFF-FFFF0000000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5"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6"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Q91" tableType="xml" totalsRowShown="0" connectionId="1">
  <autoFilter ref="A1:Q91" xr:uid="{00000000-0009-0000-0100-000001000000}"/>
  <tableColumns count="17">
    <tableColumn id="1" xr3:uid="{00000000-0010-0000-0000-000001000000}" uniqueName="name" name="name">
      <xmlColumnPr mapId="1" xpath="/set/@name" xmlDataType="string"/>
    </tableColumn>
    <tableColumn id="2" xr3:uid="{00000000-0010-0000-0000-000002000000}" uniqueName="id" name="id">
      <xmlColumnPr mapId="1" xpath="/set/@id" xmlDataType="string"/>
    </tableColumn>
    <tableColumn id="3" xr3:uid="{00000000-0010-0000-0000-000003000000}" uniqueName="gameId" name="gameId">
      <xmlColumnPr mapId="1" xpath="/set/@gameId" xmlDataType="string"/>
    </tableColumn>
    <tableColumn id="4" xr3:uid="{00000000-0010-0000-0000-000004000000}" uniqueName="gameVersion" name="gameVersion">
      <xmlColumnPr mapId="1" xpath="/set/@gameVersion" xmlDataType="string"/>
    </tableColumn>
    <tableColumn id="5" xr3:uid="{00000000-0010-0000-0000-000005000000}" uniqueName="version" name="version">
      <xmlColumnPr mapId="1" xpath="/set/@version" xmlDataType="string"/>
    </tableColumn>
    <tableColumn id="6" xr3:uid="{00000000-0010-0000-0000-000006000000}" uniqueName="id" name="id2">
      <xmlColumnPr mapId="1" xpath="/set/cards/card/@id" xmlDataType="string"/>
    </tableColumn>
    <tableColumn id="7" xr3:uid="{00000000-0010-0000-0000-000007000000}" uniqueName="name" name="name3">
      <xmlColumnPr mapId="1" xpath="/set/cards/card/@name" xmlDataType="string"/>
    </tableColumn>
    <tableColumn id="8" xr3:uid="{00000000-0010-0000-0000-000008000000}" uniqueName="name" name="name4">
      <xmlColumnPr mapId="1" xpath="/set/cards/card/property/@name" xmlDataType="string"/>
    </tableColumn>
    <tableColumn id="9" xr3:uid="{00000000-0010-0000-0000-000009000000}" uniqueName="value" name="value">
      <xmlColumnPr mapId="1" xpath="/set/cards/card/property/@value" xmlDataType="string"/>
    </tableColumn>
    <tableColumn id="10" xr3:uid="{00000000-0010-0000-0000-00000A000000}" uniqueName="name" name="name5">
      <xmlColumnPr mapId="1" xpath="/set/cards/card/alternate/@name" xmlDataType="string"/>
    </tableColumn>
    <tableColumn id="11" xr3:uid="{00000000-0010-0000-0000-00000B000000}" uniqueName="type" name="type">
      <xmlColumnPr mapId="1" xpath="/set/cards/card/alternate/@type" xmlDataType="string"/>
    </tableColumn>
    <tableColumn id="12" xr3:uid="{00000000-0010-0000-0000-00000C000000}" uniqueName="name" name="name6">
      <xmlColumnPr mapId="1" xpath="/set/cards/card/alternate/property/@name" xmlDataType="string"/>
    </tableColumn>
    <tableColumn id="13" xr3:uid="{00000000-0010-0000-0000-00000D000000}" uniqueName="value" name="value7">
      <xmlColumnPr mapId="1" xpath="/set/cards/card/alternate/property/@value" xmlDataType="string"/>
    </tableColumn>
    <tableColumn id="14" xr3:uid="{00000000-0010-0000-0000-00000E000000}" uniqueName="14" name="value8" dataDxfId="94">
      <calculatedColumnFormula>Table1[[#This Row],[id2]]&amp;Table1[[#This Row],[name4]]</calculatedColumnFormula>
    </tableColumn>
    <tableColumn id="15" xr3:uid="{00000000-0010-0000-0000-00000F000000}" uniqueName="15" name="value9" dataDxfId="93">
      <calculatedColumnFormula>IF(Table1[[#This Row],[value]]="","",Table1[[#This Row],[value]])</calculatedColumnFormula>
    </tableColumn>
    <tableColumn id="16" xr3:uid="{00000000-0010-0000-0000-000010000000}" uniqueName="16" name="value10" dataDxfId="92">
      <calculatedColumnFormula>Table1[[#This Row],[id2]]&amp;Table1[[#This Row],[name6]]</calculatedColumnFormula>
    </tableColumn>
    <tableColumn id="17" xr3:uid="{00000000-0010-0000-0000-000011000000}" uniqueName="17" name="value11" dataDxfId="91">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91"/>
  <sheetViews>
    <sheetView workbookViewId="0">
      <selection activeCell="A2" sqref="A2"/>
    </sheetView>
  </sheetViews>
  <sheetFormatPr defaultRowHeight="1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90">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5">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90">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5">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
  <sheetViews>
    <sheetView workbookViewId="0">
      <selection activeCell="I2" sqref="I2"/>
    </sheetView>
  </sheetViews>
  <sheetFormatPr defaultRowHeight="1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P129"/>
  <sheetViews>
    <sheetView workbookViewId="0">
      <pane ySplit="1" topLeftCell="A2" activePane="bottomLeft" state="frozen"/>
      <selection activeCell="I1" sqref="I1"/>
      <selection pane="bottomLeft" activeCell="A2" sqref="A2:AP6"/>
    </sheetView>
  </sheetViews>
  <sheetFormatPr defaultRowHeight="15"/>
  <cols>
    <col min="1" max="2" width="39.85546875" style="5" bestFit="1" customWidth="1"/>
    <col min="3" max="5" width="4" style="5" bestFit="1" customWidth="1"/>
    <col min="6" max="6" width="37" style="5" bestFit="1" customWidth="1"/>
    <col min="7" max="7" width="37" style="5" customWidth="1"/>
    <col min="8" max="8" width="4" style="5" bestFit="1" customWidth="1"/>
    <col min="9" max="9" width="11.28515625" style="5" bestFit="1" customWidth="1"/>
    <col min="10" max="10" width="10.7109375" style="5" bestFit="1" customWidth="1"/>
    <col min="11" max="11" width="33.140625" style="5" bestFit="1" customWidth="1"/>
    <col min="12" max="12" width="44.140625" style="6" customWidth="1"/>
    <col min="13" max="21" width="4" style="5" bestFit="1" customWidth="1"/>
    <col min="22" max="22" width="66.7109375" style="6" customWidth="1"/>
    <col min="23" max="23" width="55.85546875" style="6" customWidth="1"/>
    <col min="24" max="24" width="11.28515625" style="5" bestFit="1" customWidth="1"/>
    <col min="25" max="25" width="38" style="5" bestFit="1" customWidth="1"/>
    <col min="26" max="26" width="4" style="6" bestFit="1" customWidth="1"/>
    <col min="27" max="27" width="9.140625" style="5"/>
    <col min="28" max="28" width="13" style="5" customWidth="1"/>
    <col min="29" max="29" width="12.85546875" style="5" customWidth="1"/>
    <col min="30" max="30" width="12.28515625" style="5" customWidth="1"/>
    <col min="31" max="38" width="4" style="5" bestFit="1" customWidth="1"/>
    <col min="39" max="39" width="7" style="5" customWidth="1"/>
    <col min="40" max="41" width="55.85546875" style="5" customWidth="1"/>
    <col min="42" max="16384" width="9.140625" style="5"/>
  </cols>
  <sheetData>
    <row r="1" spans="1:42" s="4" customFormat="1" ht="9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90">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30">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45">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65">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I3"/>
  <sheetViews>
    <sheetView workbookViewId="0">
      <selection activeCell="B3" sqref="B3"/>
    </sheetView>
  </sheetViews>
  <sheetFormatPr defaultRowHeight="15"/>
  <cols>
    <col min="1" max="1" width="36.7109375" bestFit="1" customWidth="1"/>
    <col min="2" max="2" width="32.42578125" bestFit="1" customWidth="1"/>
    <col min="4" max="4" width="3.7109375" customWidth="1"/>
    <col min="5" max="5" width="10.85546875" bestFit="1" customWidth="1"/>
    <col min="6" max="6" width="10.85546875" customWidth="1"/>
    <col min="7" max="7" width="9.7109375" bestFit="1" customWidth="1"/>
    <col min="8" max="8" width="12.28515625" bestFit="1" customWidth="1"/>
    <col min="10" max="10" width="3.140625" customWidth="1"/>
    <col min="18" max="18" width="3.140625" customWidth="1"/>
    <col min="24" max="24" width="2.5703125" customWidth="1"/>
  </cols>
  <sheetData>
    <row r="1" spans="1:35">
      <c r="A1" s="17" t="s">
        <v>13</v>
      </c>
      <c r="B1" s="18" t="s">
        <v>114</v>
      </c>
      <c r="C1" s="19" t="s">
        <v>56</v>
      </c>
      <c r="E1" s="54" t="s">
        <v>139</v>
      </c>
      <c r="F1" s="55"/>
      <c r="G1" s="55"/>
      <c r="H1" s="55"/>
      <c r="I1" s="56"/>
      <c r="J1" s="32"/>
      <c r="K1" s="53" t="s">
        <v>14</v>
      </c>
      <c r="L1" s="53"/>
      <c r="M1" s="53"/>
      <c r="N1" s="53"/>
      <c r="O1" s="53"/>
      <c r="P1" s="53"/>
      <c r="Q1" s="53"/>
      <c r="R1" s="29"/>
      <c r="S1" s="53" t="s">
        <v>15</v>
      </c>
      <c r="T1" s="53"/>
      <c r="U1" s="53"/>
      <c r="V1" s="53"/>
      <c r="W1" s="53"/>
      <c r="X1" s="29"/>
      <c r="Y1" s="53" t="s">
        <v>117</v>
      </c>
      <c r="Z1" s="53"/>
      <c r="AA1" s="53"/>
      <c r="AB1" s="53"/>
      <c r="AC1" s="53"/>
      <c r="AD1" s="53"/>
      <c r="AE1" s="53"/>
      <c r="AF1" s="53"/>
      <c r="AG1" s="53"/>
      <c r="AH1" s="53"/>
      <c r="AI1" s="53"/>
    </row>
    <row r="2" spans="1:35">
      <c r="A2" s="21" t="s">
        <v>112</v>
      </c>
      <c r="B2" s="21" t="s">
        <v>113</v>
      </c>
      <c r="C2" s="21" t="s">
        <v>4</v>
      </c>
      <c r="E2" s="30" t="s">
        <v>135</v>
      </c>
      <c r="F2" s="30" t="s">
        <v>138</v>
      </c>
      <c r="G2" s="30" t="s">
        <v>136</v>
      </c>
      <c r="H2" s="30" t="s">
        <v>137</v>
      </c>
      <c r="I2" s="30" t="s">
        <v>44</v>
      </c>
      <c r="J2" s="30"/>
      <c r="K2" s="30" t="s">
        <v>33</v>
      </c>
      <c r="L2" s="30" t="s">
        <v>130</v>
      </c>
      <c r="M2" s="30" t="s">
        <v>41</v>
      </c>
      <c r="N2" s="30" t="s">
        <v>131</v>
      </c>
      <c r="O2" s="30" t="s">
        <v>42</v>
      </c>
      <c r="P2" s="30" t="s">
        <v>43</v>
      </c>
      <c r="Q2" s="30" t="s">
        <v>129</v>
      </c>
      <c r="R2" s="30"/>
      <c r="S2" s="30" t="s">
        <v>34</v>
      </c>
      <c r="T2" s="30" t="s">
        <v>133</v>
      </c>
      <c r="U2" s="30" t="s">
        <v>132</v>
      </c>
      <c r="V2" s="30" t="s">
        <v>39</v>
      </c>
      <c r="W2" s="30" t="s">
        <v>134</v>
      </c>
      <c r="X2" s="30"/>
      <c r="Y2" s="30" t="s">
        <v>118</v>
      </c>
      <c r="Z2" s="30" t="s">
        <v>119</v>
      </c>
      <c r="AA2" s="30" t="s">
        <v>120</v>
      </c>
      <c r="AB2" s="30" t="s">
        <v>121</v>
      </c>
      <c r="AC2" s="30" t="s">
        <v>122</v>
      </c>
      <c r="AD2" s="30" t="s">
        <v>123</v>
      </c>
      <c r="AE2" s="30" t="s">
        <v>124</v>
      </c>
      <c r="AF2" s="30" t="s">
        <v>125</v>
      </c>
      <c r="AG2" s="30" t="s">
        <v>126</v>
      </c>
      <c r="AH2" s="30" t="s">
        <v>127</v>
      </c>
      <c r="AI2" s="30" t="s">
        <v>128</v>
      </c>
    </row>
    <row r="3" spans="1:35">
      <c r="A3" t="s">
        <v>141</v>
      </c>
      <c r="B3" t="s">
        <v>140</v>
      </c>
      <c r="C3" s="20" t="s">
        <v>79</v>
      </c>
      <c r="E3" s="31">
        <f>SUMIF('Card Data'!$A:$A,$A3,'Card Data'!$E:$E)</f>
        <v>0</v>
      </c>
      <c r="F3" s="31">
        <f>COUNTIFS('Card Data'!$I:$I,K$2,'Card Data'!$A:$A,$A3)</f>
        <v>0</v>
      </c>
      <c r="G3" s="31">
        <f>SUMIFS('Card Data'!$E:$E,'Card Data'!$A:$A,$A3,'Card Data'!$J:$J,"&lt;&gt;",'Card Data'!$I:$I,"&lt;&gt;Hero")</f>
        <v>0</v>
      </c>
      <c r="H3" s="31">
        <f>SUMIFS('Card Data'!$E:$E,'Card Data'!$A:$A,$A3,'Card Data'!$J:$J,"")-I3</f>
        <v>0</v>
      </c>
      <c r="I3" s="31">
        <f>COUNTIFS('Card Data'!$I:$I,I$2,'Card Data'!$A:$A,$A3,'Card Data'!$K:$K,"&lt;&gt;*Side Quest.*")</f>
        <v>0</v>
      </c>
      <c r="J3" s="31"/>
      <c r="K3" s="31">
        <f>COUNTIFS('Card Data'!$I:$I,K$2,'Card Data'!$A:$A,$A3)</f>
        <v>0</v>
      </c>
      <c r="L3" s="31">
        <f>COUNTIFS('Card Data'!$I:$I,L$2,'Card Data'!$A:$A,$A3)</f>
        <v>0</v>
      </c>
      <c r="M3" s="31">
        <f>COUNTIFS('Card Data'!$I:$I,M$2,'Card Data'!$A:$A,$A3)</f>
        <v>0</v>
      </c>
      <c r="N3" s="31">
        <f>COUNTIFS('Card Data'!$I:$I,N$2,'Card Data'!$A:$A,$A3)</f>
        <v>0</v>
      </c>
      <c r="O3" s="31">
        <f>COUNTIFS('Card Data'!$I:$I,O$2,'Card Data'!$A:$A,$A3)</f>
        <v>0</v>
      </c>
      <c r="P3" s="31">
        <f>COUNTIFS('Card Data'!$I:$I,P$2,'Card Data'!$A:$A,$A3)</f>
        <v>0</v>
      </c>
      <c r="Q3" s="31">
        <f>COUNTIFS('Card Data'!$I:$I,Q$2,'Card Data'!$A:$A,$A3)</f>
        <v>0</v>
      </c>
      <c r="R3" s="31"/>
      <c r="S3" s="31">
        <f>COUNTIFS('Card Data'!$J:$J,S$2,'Card Data'!$A:$A,$A3)</f>
        <v>0</v>
      </c>
      <c r="T3" s="31">
        <f>COUNTIFS('Card Data'!$J:$J,T$2,'Card Data'!$A:$A,$A3)</f>
        <v>0</v>
      </c>
      <c r="U3" s="31">
        <f>COUNTIFS('Card Data'!$J:$J,U$2,'Card Data'!$A:$A,$A3)</f>
        <v>0</v>
      </c>
      <c r="V3" s="31">
        <f>COUNTIFS('Card Data'!$J:$J,V$2,'Card Data'!$A:$A,$A3)</f>
        <v>0</v>
      </c>
      <c r="W3" s="31">
        <f>COUNTIFS('Card Data'!$J:$J,W$2,'Card Data'!$A:$A,$A3)</f>
        <v>0</v>
      </c>
      <c r="X3" s="31"/>
      <c r="Y3" s="31" t="str">
        <f>IF(COUNTIFS('Card Data'!$K:$K,"*"&amp;Y$2&amp;".*",'Card Data'!$A:$A,$A3)=0,"",IF(COUNTIFS('Card Data'!$K:$K,"*"&amp;Y$2&amp;".*",'Card Data'!$A:$A,$A3,'Card Data'!$I:$I,"Hero")=0,COUNTIFS('Card Data'!$K:$K,"*"&amp;Y$2&amp;".*",'Card Data'!$A:$A,$A3),COUNTIFS('Card Data'!$K:$K,"*"&amp;Y$2&amp;".*",'Card Data'!$A:$A,$A3)&amp;" ("&amp;COUNTIFS('Card Data'!$K:$K,"*"&amp;Y$2&amp;".*",'Card Data'!$A:$A,$A3,'Card Data'!$I:$I,"Hero")&amp;")"))</f>
        <v/>
      </c>
      <c r="Z3" s="31" t="str">
        <f>IF(COUNTIFS('Card Data'!$K:$K,"*"&amp;Z$2&amp;".*",'Card Data'!$A:$A,$A3)=0,"",IF(COUNTIFS('Card Data'!$K:$K,"*"&amp;Z$2&amp;".*",'Card Data'!$A:$A,$A3,'Card Data'!$I:$I,"Hero")=0,COUNTIFS('Card Data'!$K:$K,"*"&amp;Z$2&amp;".*",'Card Data'!$A:$A,$A3),COUNTIFS('Card Data'!$K:$K,"*"&amp;Z$2&amp;".*",'Card Data'!$A:$A,$A3)&amp;" ("&amp;COUNTIFS('Card Data'!$K:$K,"*"&amp;Z$2&amp;".*",'Card Data'!$A:$A,$A3,'Card Data'!$I:$I,"Hero")&amp;")"))</f>
        <v/>
      </c>
      <c r="AA3" s="31" t="str">
        <f>IF(COUNTIFS('Card Data'!$K:$K,"*"&amp;AA$2&amp;".*",'Card Data'!$A:$A,$A3)=0,"",IF(COUNTIFS('Card Data'!$K:$K,"*"&amp;AA$2&amp;".*",'Card Data'!$A:$A,$A3,'Card Data'!$I:$I,"Hero")=0,COUNTIFS('Card Data'!$K:$K,"*"&amp;AA$2&amp;".*",'Card Data'!$A:$A,$A3),COUNTIFS('Card Data'!$K:$K,"*"&amp;AA$2&amp;".*",'Card Data'!$A:$A,$A3)&amp;" ("&amp;COUNTIFS('Card Data'!$K:$K,"*"&amp;AA$2&amp;".*",'Card Data'!$A:$A,$A3,'Card Data'!$I:$I,"Hero")&amp;")"))</f>
        <v/>
      </c>
      <c r="AB3" s="31" t="str">
        <f>IF(COUNTIFS('Card Data'!$K:$K,"*"&amp;AB$2&amp;".*",'Card Data'!$A:$A,$A3)=0,"",IF(COUNTIFS('Card Data'!$K:$K,"*"&amp;AB$2&amp;".*",'Card Data'!$A:$A,$A3,'Card Data'!$I:$I,"Hero")=0,COUNTIFS('Card Data'!$K:$K,"*"&amp;AB$2&amp;".*",'Card Data'!$A:$A,$A3),COUNTIFS('Card Data'!$K:$K,"*"&amp;AB$2&amp;".*",'Card Data'!$A:$A,$A3)&amp;" ("&amp;COUNTIFS('Card Data'!$K:$K,"*"&amp;AB$2&amp;".*",'Card Data'!$A:$A,$A3,'Card Data'!$I:$I,"Hero")&amp;")"))</f>
        <v/>
      </c>
      <c r="AC3" s="31" t="str">
        <f>IF(COUNTIFS('Card Data'!$K:$K,"*"&amp;AC$2&amp;".*",'Card Data'!$A:$A,$A3)=0,"",IF(COUNTIFS('Card Data'!$K:$K,"*"&amp;AC$2&amp;".*",'Card Data'!$A:$A,$A3,'Card Data'!$I:$I,"Hero")=0,COUNTIFS('Card Data'!$K:$K,"*"&amp;AC$2&amp;".*",'Card Data'!$A:$A,$A3),COUNTIFS('Card Data'!$K:$K,"*"&amp;AC$2&amp;".*",'Card Data'!$A:$A,$A3)&amp;" ("&amp;COUNTIFS('Card Data'!$K:$K,"*"&amp;AC$2&amp;".*",'Card Data'!$A:$A,$A3,'Card Data'!$I:$I,"Hero")&amp;")"))</f>
        <v/>
      </c>
      <c r="AD3" s="31" t="str">
        <f>IF(COUNTIFS('Card Data'!$K:$K,"*"&amp;AD$2&amp;".*",'Card Data'!$A:$A,$A3)=0,"",IF(COUNTIFS('Card Data'!$K:$K,"*"&amp;AD$2&amp;".*",'Card Data'!$A:$A,$A3,'Card Data'!$I:$I,"Hero")=0,COUNTIFS('Card Data'!$K:$K,"*"&amp;AD$2&amp;".*",'Card Data'!$A:$A,$A3),COUNTIFS('Card Data'!$K:$K,"*"&amp;AD$2&amp;".*",'Card Data'!$A:$A,$A3)&amp;" ("&amp;COUNTIFS('Card Data'!$K:$K,"*"&amp;AD$2&amp;".*",'Card Data'!$A:$A,$A3,'Card Data'!$I:$I,"Hero")&amp;")"))</f>
        <v/>
      </c>
      <c r="AE3" s="31" t="str">
        <f>IF(COUNTIFS('Card Data'!$K:$K,"*"&amp;AE$2&amp;".*",'Card Data'!$A:$A,$A3)=0,"",IF(COUNTIFS('Card Data'!$K:$K,"*"&amp;AE$2&amp;".*",'Card Data'!$A:$A,$A3,'Card Data'!$I:$I,"Hero")=0,COUNTIFS('Card Data'!$K:$K,"*"&amp;AE$2&amp;".*",'Card Data'!$A:$A,$A3),COUNTIFS('Card Data'!$K:$K,"*"&amp;AE$2&amp;".*",'Card Data'!$A:$A,$A3)&amp;" ("&amp;COUNTIFS('Card Data'!$K:$K,"*"&amp;AE$2&amp;".*",'Card Data'!$A:$A,$A3,'Card Data'!$I:$I,"Hero")&amp;")"))</f>
        <v/>
      </c>
      <c r="AF3" s="31" t="str">
        <f>IF(COUNTIFS('Card Data'!$K:$K,"*"&amp;AF$2&amp;".*",'Card Data'!$A:$A,$A3)=0,"",IF(COUNTIFS('Card Data'!$K:$K,"*"&amp;AF$2&amp;".*",'Card Data'!$A:$A,$A3,'Card Data'!$I:$I,"Hero")=0,COUNTIFS('Card Data'!$K:$K,"*"&amp;AF$2&amp;".*",'Card Data'!$A:$A,$A3),COUNTIFS('Card Data'!$K:$K,"*"&amp;AF$2&amp;".*",'Card Data'!$A:$A,$A3)&amp;" ("&amp;COUNTIFS('Card Data'!$K:$K,"*"&amp;AF$2&amp;".*",'Card Data'!$A:$A,$A3,'Card Data'!$I:$I,"Hero")&amp;")"))</f>
        <v/>
      </c>
      <c r="AG3" s="31" t="str">
        <f>IF(COUNTIFS('Card Data'!$K:$K,"*"&amp;AG$2&amp;".*",'Card Data'!$A:$A,$A3)=0,"",IF(COUNTIFS('Card Data'!$K:$K,"*"&amp;AG$2&amp;".*",'Card Data'!$A:$A,$A3,'Card Data'!$I:$I,"Hero")=0,COUNTIFS('Card Data'!$K:$K,"*"&amp;AG$2&amp;".*",'Card Data'!$A:$A,$A3),COUNTIFS('Card Data'!$K:$K,"*"&amp;AG$2&amp;".*",'Card Data'!$A:$A,$A3)&amp;" ("&amp;COUNTIFS('Card Data'!$K:$K,"*"&amp;AG$2&amp;".*",'Card Data'!$A:$A,$A3,'Card Data'!$I:$I,"Hero")&amp;")"))</f>
        <v/>
      </c>
      <c r="AH3" s="31" t="str">
        <f>IF(COUNTIFS('Card Data'!$K:$K,"*"&amp;AH$2&amp;".*",'Card Data'!$A:$A,$A3)=0,"",IF(COUNTIFS('Card Data'!$K:$K,"*"&amp;AH$2&amp;".*",'Card Data'!$A:$A,$A3,'Card Data'!$I:$I,"Hero")=0,COUNTIFS('Card Data'!$K:$K,"*"&amp;AH$2&amp;".*",'Card Data'!$A:$A,$A3),COUNTIFS('Card Data'!$K:$K,"*"&amp;AH$2&amp;".*",'Card Data'!$A:$A,$A3)&amp;" ("&amp;COUNTIFS('Card Data'!$K:$K,"*"&amp;AH$2&amp;".*",'Card Data'!$A:$A,$A3,'Card Data'!$I:$I,"Hero")&amp;")"))</f>
        <v/>
      </c>
      <c r="AI3" s="31"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90" priority="29" operator="equal">
      <formula>"Fellowship"</formula>
    </cfRule>
    <cfRule type="cellIs" dxfId="89" priority="30" operator="equal">
      <formula>"Neutral"</formula>
    </cfRule>
    <cfRule type="cellIs" dxfId="88" priority="31" operator="equal">
      <formula>"Baggins"</formula>
    </cfRule>
    <cfRule type="cellIs" dxfId="87" priority="32" operator="equal">
      <formula>"Lore"</formula>
    </cfRule>
    <cfRule type="cellIs" dxfId="86" priority="33" operator="equal">
      <formula>"Spirit"</formula>
    </cfRule>
    <cfRule type="cellIs" dxfId="85" priority="34" operator="equal">
      <formula>"Tactics"</formula>
    </cfRule>
    <cfRule type="cellIs" dxfId="84" priority="35" operator="equal">
      <formula>"Leadership"</formula>
    </cfRule>
  </conditionalFormatting>
  <conditionalFormatting sqref="T2">
    <cfRule type="cellIs" dxfId="83" priority="22" operator="equal">
      <formula>"Fellowship"</formula>
    </cfRule>
    <cfRule type="cellIs" dxfId="82" priority="23" operator="equal">
      <formula>"Neutral"</formula>
    </cfRule>
    <cfRule type="cellIs" dxfId="81" priority="24" operator="equal">
      <formula>"Baggins"</formula>
    </cfRule>
    <cfRule type="cellIs" dxfId="80" priority="25" operator="equal">
      <formula>"Lore"</formula>
    </cfRule>
    <cfRule type="cellIs" dxfId="79" priority="26" operator="equal">
      <formula>"Spirit"</formula>
    </cfRule>
    <cfRule type="cellIs" dxfId="78" priority="27" operator="equal">
      <formula>"Tactics"</formula>
    </cfRule>
    <cfRule type="cellIs" dxfId="77" priority="28" operator="equal">
      <formula>"Leadership"</formula>
    </cfRule>
  </conditionalFormatting>
  <conditionalFormatting sqref="U2">
    <cfRule type="cellIs" dxfId="76" priority="15" operator="equal">
      <formula>"Fellowship"</formula>
    </cfRule>
    <cfRule type="cellIs" dxfId="75" priority="16" operator="equal">
      <formula>"Neutral"</formula>
    </cfRule>
    <cfRule type="cellIs" dxfId="74" priority="17" operator="equal">
      <formula>"Baggins"</formula>
    </cfRule>
    <cfRule type="cellIs" dxfId="73" priority="18" operator="equal">
      <formula>"Lore"</formula>
    </cfRule>
    <cfRule type="cellIs" dxfId="72" priority="19" operator="equal">
      <formula>"Spirit"</formula>
    </cfRule>
    <cfRule type="cellIs" dxfId="71" priority="20" operator="equal">
      <formula>"Tactics"</formula>
    </cfRule>
    <cfRule type="cellIs" dxfId="70" priority="21" operator="equal">
      <formula>"Leadership"</formula>
    </cfRule>
  </conditionalFormatting>
  <conditionalFormatting sqref="V2">
    <cfRule type="cellIs" dxfId="69" priority="8" operator="equal">
      <formula>"Fellowship"</formula>
    </cfRule>
    <cfRule type="cellIs" dxfId="68" priority="9" operator="equal">
      <formula>"Neutral"</formula>
    </cfRule>
    <cfRule type="cellIs" dxfId="67" priority="10" operator="equal">
      <formula>"Baggins"</formula>
    </cfRule>
    <cfRule type="cellIs" dxfId="66" priority="11" operator="equal">
      <formula>"Lore"</formula>
    </cfRule>
    <cfRule type="cellIs" dxfId="65" priority="12" operator="equal">
      <formula>"Spirit"</formula>
    </cfRule>
    <cfRule type="cellIs" dxfId="64" priority="13" operator="equal">
      <formula>"Tactics"</formula>
    </cfRule>
    <cfRule type="cellIs" dxfId="63" priority="14" operator="equal">
      <formula>"Leadership"</formula>
    </cfRule>
  </conditionalFormatting>
  <conditionalFormatting sqref="W2">
    <cfRule type="cellIs" dxfId="62" priority="1" operator="equal">
      <formula>"Fellowship"</formula>
    </cfRule>
    <cfRule type="cellIs" dxfId="61" priority="2" operator="equal">
      <formula>"Neutral"</formula>
    </cfRule>
    <cfRule type="cellIs" dxfId="60" priority="3" operator="equal">
      <formula>"Baggins"</formula>
    </cfRule>
    <cfRule type="cellIs" dxfId="59" priority="4" operator="equal">
      <formula>"Lore"</formula>
    </cfRule>
    <cfRule type="cellIs" dxfId="58" priority="5" operator="equal">
      <formula>"Spirit"</formula>
    </cfRule>
    <cfRule type="cellIs" dxfId="57" priority="6" operator="equal">
      <formula>"Tactics"</formula>
    </cfRule>
    <cfRule type="cellIs" dxfId="56" priority="7" operator="equal">
      <formula>"Leadership"</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BK1752"/>
  <sheetViews>
    <sheetView tabSelected="1" workbookViewId="0">
      <pane xSplit="7" ySplit="1" topLeftCell="L28" activePane="bottomRight" state="frozen"/>
      <selection pane="topRight" activeCell="F1" sqref="F1"/>
      <selection pane="bottomLeft" activeCell="A2" sqref="A2"/>
      <selection pane="bottomRight" activeCell="M26" sqref="M26:N31"/>
    </sheetView>
  </sheetViews>
  <sheetFormatPr defaultRowHeight="12" outlineLevelCol="1"/>
  <cols>
    <col min="1" max="1" width="30.7109375" style="13" customWidth="1" outlineLevel="1"/>
    <col min="2" max="2" width="31.42578125" style="13" customWidth="1" outlineLevel="1"/>
    <col min="3" max="3" width="3.140625" style="13" bestFit="1" customWidth="1" outlineLevel="1"/>
    <col min="4" max="4" width="7.28515625" style="13" customWidth="1" outlineLevel="1"/>
    <col min="5" max="5" width="3.140625" style="13" customWidth="1" outlineLevel="1"/>
    <col min="6" max="6" width="33.5703125" style="13" customWidth="1" outlineLevel="1"/>
    <col min="7" max="7" width="32.28515625" style="13" customWidth="1"/>
    <col min="8" max="8" width="3.140625" style="13" bestFit="1" customWidth="1"/>
    <col min="9" max="9" width="8.7109375" style="13" bestFit="1" customWidth="1"/>
    <col min="10" max="10" width="8.5703125" style="13" bestFit="1" customWidth="1"/>
    <col min="11" max="11" width="26.5703125" style="14" customWidth="1"/>
    <col min="12" max="12" width="31" style="14" customWidth="1"/>
    <col min="13" max="13" width="3.140625" style="52" bestFit="1" customWidth="1"/>
    <col min="14" max="14" width="3.140625" style="22" bestFit="1" customWidth="1"/>
    <col min="15" max="15" width="3.140625" style="23" bestFit="1" customWidth="1"/>
    <col min="16" max="16" width="3.140625" style="24" bestFit="1" customWidth="1"/>
    <col min="17" max="17" width="3.140625" style="25" bestFit="1" customWidth="1"/>
    <col min="18" max="18" width="3.140625" style="26" bestFit="1" customWidth="1"/>
    <col min="19" max="19" width="3.140625" style="27" bestFit="1" customWidth="1"/>
    <col min="20" max="20" width="3.140625" style="28" bestFit="1" customWidth="1"/>
    <col min="21" max="21" width="3.140625" style="13" bestFit="1" customWidth="1"/>
    <col min="22" max="22" width="46" style="14" customWidth="1"/>
    <col min="23" max="23" width="45.28515625" style="14" customWidth="1"/>
    <col min="24" max="24" width="7" style="13" bestFit="1" customWidth="1"/>
    <col min="25" max="25" width="32" style="13" customWidth="1"/>
    <col min="26" max="26" width="3.140625" style="13" customWidth="1"/>
    <col min="27" max="27" width="8.7109375" style="13" bestFit="1" customWidth="1"/>
    <col min="28" max="28" width="8.5703125" style="13" hidden="1" customWidth="1" outlineLevel="1"/>
    <col min="29" max="29" width="24.42578125" style="13" hidden="1" customWidth="1" outlineLevel="1"/>
    <col min="30" max="30" width="28.85546875" style="13" hidden="1" customWidth="1" outlineLevel="1"/>
    <col min="31" max="31" width="3.140625" style="13" customWidth="1" collapsed="1"/>
    <col min="32" max="32" width="3.140625" style="22" customWidth="1"/>
    <col min="33" max="33" width="3.140625" style="23" hidden="1" customWidth="1" outlineLevel="1"/>
    <col min="34" max="34" width="3.140625" style="24" hidden="1" customWidth="1" outlineLevel="1"/>
    <col min="35" max="35" width="3.140625" style="25" hidden="1" customWidth="1" outlineLevel="1"/>
    <col min="36" max="36" width="3.140625" style="26" hidden="1" customWidth="1" outlineLevel="1"/>
    <col min="37" max="37" width="3.140625" style="27" hidden="1" customWidth="1" outlineLevel="1"/>
    <col min="38" max="38" width="3.140625" style="28" bestFit="1" customWidth="1" collapsed="1"/>
    <col min="39" max="39" width="3.140625" style="13" bestFit="1" customWidth="1"/>
    <col min="40" max="40" width="62" style="14" customWidth="1"/>
    <col min="41" max="41" width="45.28515625" style="14" customWidth="1" outlineLevel="1"/>
    <col min="42" max="42" width="7" style="13" customWidth="1" outlineLevel="1"/>
    <col min="43" max="16384" width="9.140625" style="13"/>
  </cols>
  <sheetData>
    <row r="1" spans="1:44" s="12" customFormat="1" ht="75">
      <c r="A1" s="10" t="s">
        <v>46</v>
      </c>
      <c r="B1" s="10" t="s">
        <v>116</v>
      </c>
      <c r="C1" s="16" t="s">
        <v>111</v>
      </c>
      <c r="D1" s="16" t="s">
        <v>55</v>
      </c>
      <c r="E1" s="16" t="s">
        <v>31</v>
      </c>
      <c r="F1" s="10" t="s">
        <v>30</v>
      </c>
      <c r="G1" s="10" t="s">
        <v>48</v>
      </c>
      <c r="H1" s="16" t="s">
        <v>18</v>
      </c>
      <c r="I1" s="10" t="s">
        <v>14</v>
      </c>
      <c r="J1" s="10" t="s">
        <v>15</v>
      </c>
      <c r="K1" s="11" t="s">
        <v>24</v>
      </c>
      <c r="L1" s="11" t="s">
        <v>27</v>
      </c>
      <c r="M1" s="51" t="s">
        <v>16</v>
      </c>
      <c r="N1" s="40" t="s">
        <v>17</v>
      </c>
      <c r="O1" s="40" t="s">
        <v>28</v>
      </c>
      <c r="P1" s="40" t="s">
        <v>22</v>
      </c>
      <c r="Q1" s="40" t="s">
        <v>20</v>
      </c>
      <c r="R1" s="40" t="s">
        <v>21</v>
      </c>
      <c r="S1" s="41" t="s">
        <v>23</v>
      </c>
      <c r="T1" s="42" t="s">
        <v>29</v>
      </c>
      <c r="U1" s="16" t="s">
        <v>32</v>
      </c>
      <c r="V1" s="11" t="s">
        <v>25</v>
      </c>
      <c r="W1" s="11" t="s">
        <v>26</v>
      </c>
      <c r="X1" s="10" t="s">
        <v>19</v>
      </c>
      <c r="Y1" s="33" t="s">
        <v>49</v>
      </c>
      <c r="Z1" s="34" t="s">
        <v>18</v>
      </c>
      <c r="AA1" s="33" t="s">
        <v>14</v>
      </c>
      <c r="AB1" s="33" t="s">
        <v>15</v>
      </c>
      <c r="AC1" s="35" t="s">
        <v>24</v>
      </c>
      <c r="AD1" s="35" t="s">
        <v>27</v>
      </c>
      <c r="AE1" s="34" t="s">
        <v>16</v>
      </c>
      <c r="AF1" s="36" t="s">
        <v>17</v>
      </c>
      <c r="AG1" s="36" t="s">
        <v>28</v>
      </c>
      <c r="AH1" s="36" t="s">
        <v>22</v>
      </c>
      <c r="AI1" s="36" t="s">
        <v>20</v>
      </c>
      <c r="AJ1" s="36" t="s">
        <v>21</v>
      </c>
      <c r="AK1" s="37" t="s">
        <v>23</v>
      </c>
      <c r="AL1" s="38" t="s">
        <v>29</v>
      </c>
      <c r="AM1" s="34" t="s">
        <v>32</v>
      </c>
      <c r="AN1" s="35" t="s">
        <v>25</v>
      </c>
      <c r="AO1" s="11" t="s">
        <v>26</v>
      </c>
      <c r="AP1" s="10" t="s">
        <v>19</v>
      </c>
    </row>
    <row r="2" spans="1:44" ht="15">
      <c r="B2" s="13" t="s">
        <v>216</v>
      </c>
      <c r="D2">
        <v>112</v>
      </c>
      <c r="E2">
        <v>1</v>
      </c>
      <c r="F2"/>
      <c r="G2" t="s">
        <v>143</v>
      </c>
      <c r="H2" t="s">
        <v>35</v>
      </c>
      <c r="I2" t="s">
        <v>33</v>
      </c>
      <c r="J2" t="s">
        <v>133</v>
      </c>
      <c r="K2" t="s">
        <v>144</v>
      </c>
      <c r="L2"/>
      <c r="M2">
        <v>9</v>
      </c>
      <c r="N2"/>
      <c r="O2"/>
      <c r="P2">
        <v>1</v>
      </c>
      <c r="Q2">
        <v>1</v>
      </c>
      <c r="R2">
        <v>2</v>
      </c>
      <c r="S2">
        <v>2</v>
      </c>
      <c r="T2"/>
      <c r="U2"/>
      <c r="V2" t="s">
        <v>206</v>
      </c>
      <c r="W2"/>
      <c r="X2"/>
      <c r="Y2"/>
      <c r="Z2"/>
      <c r="AA2"/>
      <c r="AB2"/>
      <c r="AC2"/>
      <c r="AD2"/>
      <c r="AE2"/>
      <c r="AF2"/>
      <c r="AG2"/>
      <c r="AH2"/>
      <c r="AI2"/>
      <c r="AJ2"/>
      <c r="AK2"/>
      <c r="AL2"/>
      <c r="AM2"/>
      <c r="AN2"/>
      <c r="AO2"/>
      <c r="AP2"/>
      <c r="AQ2"/>
      <c r="AR2"/>
    </row>
    <row r="3" spans="1:44" ht="15">
      <c r="B3" s="13" t="s">
        <v>217</v>
      </c>
      <c r="D3">
        <v>113</v>
      </c>
      <c r="E3">
        <v>3</v>
      </c>
      <c r="F3"/>
      <c r="G3" t="s">
        <v>145</v>
      </c>
      <c r="H3"/>
      <c r="I3" t="s">
        <v>130</v>
      </c>
      <c r="J3" t="s">
        <v>34</v>
      </c>
      <c r="K3" t="s">
        <v>146</v>
      </c>
      <c r="L3"/>
      <c r="M3">
        <v>3</v>
      </c>
      <c r="N3"/>
      <c r="O3"/>
      <c r="P3">
        <v>0</v>
      </c>
      <c r="Q3">
        <v>0</v>
      </c>
      <c r="R3">
        <v>2</v>
      </c>
      <c r="S3">
        <v>3</v>
      </c>
      <c r="T3"/>
      <c r="U3"/>
      <c r="V3" t="s">
        <v>147</v>
      </c>
      <c r="W3"/>
      <c r="X3"/>
      <c r="Y3"/>
      <c r="Z3"/>
      <c r="AA3"/>
      <c r="AB3"/>
      <c r="AC3"/>
      <c r="AD3"/>
      <c r="AE3"/>
      <c r="AF3"/>
      <c r="AG3"/>
      <c r="AH3"/>
      <c r="AI3"/>
      <c r="AJ3"/>
      <c r="AK3"/>
      <c r="AL3"/>
      <c r="AM3"/>
      <c r="AN3"/>
      <c r="AO3"/>
      <c r="AP3"/>
      <c r="AQ3"/>
      <c r="AR3"/>
    </row>
    <row r="4" spans="1:44" ht="15">
      <c r="B4" s="13" t="s">
        <v>218</v>
      </c>
      <c r="D4">
        <v>114</v>
      </c>
      <c r="E4">
        <v>3</v>
      </c>
      <c r="F4"/>
      <c r="G4" t="s">
        <v>148</v>
      </c>
      <c r="H4"/>
      <c r="I4" t="s">
        <v>131</v>
      </c>
      <c r="J4" t="s">
        <v>34</v>
      </c>
      <c r="K4"/>
      <c r="L4"/>
      <c r="M4">
        <v>0</v>
      </c>
      <c r="N4"/>
      <c r="O4"/>
      <c r="P4"/>
      <c r="Q4"/>
      <c r="R4"/>
      <c r="S4"/>
      <c r="T4"/>
      <c r="U4"/>
      <c r="V4" t="s">
        <v>149</v>
      </c>
      <c r="W4"/>
      <c r="X4"/>
      <c r="Y4"/>
      <c r="Z4"/>
      <c r="AA4"/>
      <c r="AB4"/>
      <c r="AC4"/>
      <c r="AD4"/>
      <c r="AE4"/>
      <c r="AF4"/>
      <c r="AG4"/>
      <c r="AH4"/>
      <c r="AI4"/>
      <c r="AJ4"/>
      <c r="AK4"/>
      <c r="AL4"/>
      <c r="AM4"/>
      <c r="AN4"/>
      <c r="AO4"/>
      <c r="AP4"/>
      <c r="AQ4"/>
      <c r="AR4"/>
    </row>
    <row r="5" spans="1:44" ht="15">
      <c r="B5" s="39" t="s">
        <v>219</v>
      </c>
      <c r="D5">
        <v>115</v>
      </c>
      <c r="E5">
        <v>3</v>
      </c>
      <c r="F5"/>
      <c r="G5" t="s">
        <v>150</v>
      </c>
      <c r="H5" t="s">
        <v>35</v>
      </c>
      <c r="I5" t="s">
        <v>130</v>
      </c>
      <c r="J5" t="s">
        <v>39</v>
      </c>
      <c r="K5" t="s">
        <v>151</v>
      </c>
      <c r="L5"/>
      <c r="M5">
        <v>2</v>
      </c>
      <c r="N5"/>
      <c r="O5"/>
      <c r="P5">
        <v>1</v>
      </c>
      <c r="Q5">
        <v>1</v>
      </c>
      <c r="R5">
        <v>0</v>
      </c>
      <c r="S5">
        <v>1</v>
      </c>
      <c r="T5"/>
      <c r="U5"/>
      <c r="V5" t="s">
        <v>152</v>
      </c>
      <c r="W5"/>
      <c r="X5"/>
      <c r="Y5"/>
      <c r="Z5"/>
      <c r="AA5"/>
      <c r="AB5"/>
      <c r="AC5"/>
      <c r="AD5"/>
      <c r="AE5"/>
      <c r="AF5"/>
      <c r="AG5"/>
      <c r="AH5"/>
      <c r="AI5"/>
      <c r="AJ5"/>
      <c r="AK5"/>
      <c r="AL5"/>
      <c r="AM5"/>
      <c r="AN5"/>
      <c r="AO5"/>
      <c r="AP5"/>
      <c r="AQ5"/>
      <c r="AR5"/>
    </row>
    <row r="6" spans="1:44" ht="15">
      <c r="B6" s="13" t="s">
        <v>220</v>
      </c>
      <c r="D6">
        <v>116</v>
      </c>
      <c r="E6">
        <v>3</v>
      </c>
      <c r="F6"/>
      <c r="G6" t="s">
        <v>153</v>
      </c>
      <c r="H6"/>
      <c r="I6" t="s">
        <v>131</v>
      </c>
      <c r="J6" t="s">
        <v>39</v>
      </c>
      <c r="K6" t="s">
        <v>154</v>
      </c>
      <c r="L6"/>
      <c r="M6">
        <v>0</v>
      </c>
      <c r="N6"/>
      <c r="O6"/>
      <c r="P6"/>
      <c r="Q6"/>
      <c r="R6"/>
      <c r="S6"/>
      <c r="T6"/>
      <c r="U6"/>
      <c r="V6" t="s">
        <v>155</v>
      </c>
      <c r="W6"/>
      <c r="X6"/>
      <c r="Y6"/>
      <c r="Z6"/>
      <c r="AA6"/>
      <c r="AB6"/>
      <c r="AC6"/>
      <c r="AD6"/>
      <c r="AE6"/>
      <c r="AF6"/>
      <c r="AG6"/>
      <c r="AH6"/>
      <c r="AI6"/>
      <c r="AJ6"/>
      <c r="AK6"/>
      <c r="AL6"/>
      <c r="AM6"/>
      <c r="AN6"/>
      <c r="AO6"/>
      <c r="AP6"/>
      <c r="AQ6"/>
      <c r="AR6"/>
    </row>
    <row r="7" spans="1:44" ht="15">
      <c r="B7" s="13" t="s">
        <v>221</v>
      </c>
      <c r="D7">
        <v>117</v>
      </c>
      <c r="E7">
        <v>3</v>
      </c>
      <c r="F7"/>
      <c r="G7" t="s">
        <v>156</v>
      </c>
      <c r="H7" t="s">
        <v>35</v>
      </c>
      <c r="I7" t="s">
        <v>41</v>
      </c>
      <c r="J7" t="s">
        <v>133</v>
      </c>
      <c r="K7" t="s">
        <v>157</v>
      </c>
      <c r="L7"/>
      <c r="M7">
        <v>0</v>
      </c>
      <c r="N7"/>
      <c r="O7"/>
      <c r="P7"/>
      <c r="Q7"/>
      <c r="R7"/>
      <c r="S7"/>
      <c r="T7"/>
      <c r="U7"/>
      <c r="V7" t="s">
        <v>207</v>
      </c>
      <c r="W7"/>
      <c r="X7"/>
      <c r="Y7"/>
      <c r="Z7"/>
      <c r="AA7"/>
      <c r="AB7"/>
      <c r="AC7"/>
      <c r="AD7"/>
      <c r="AE7"/>
      <c r="AF7"/>
      <c r="AG7"/>
      <c r="AH7"/>
      <c r="AI7"/>
      <c r="AJ7"/>
      <c r="AK7"/>
      <c r="AL7"/>
      <c r="AM7"/>
      <c r="AN7"/>
      <c r="AO7"/>
      <c r="AP7"/>
      <c r="AQ7"/>
      <c r="AR7"/>
    </row>
    <row r="8" spans="1:44" ht="15">
      <c r="B8" s="13" t="s">
        <v>222</v>
      </c>
      <c r="D8">
        <v>118</v>
      </c>
      <c r="E8">
        <v>3</v>
      </c>
      <c r="F8"/>
      <c r="G8" t="s">
        <v>158</v>
      </c>
      <c r="H8"/>
      <c r="I8" t="s">
        <v>41</v>
      </c>
      <c r="J8" t="s">
        <v>133</v>
      </c>
      <c r="K8" t="s">
        <v>159</v>
      </c>
      <c r="L8"/>
      <c r="M8">
        <v>0</v>
      </c>
      <c r="N8"/>
      <c r="O8"/>
      <c r="P8"/>
      <c r="Q8"/>
      <c r="R8"/>
      <c r="S8"/>
      <c r="T8"/>
      <c r="U8"/>
      <c r="V8" t="s">
        <v>208</v>
      </c>
      <c r="W8"/>
      <c r="X8"/>
      <c r="Y8"/>
      <c r="Z8"/>
      <c r="AA8"/>
      <c r="AB8"/>
      <c r="AC8"/>
      <c r="AD8"/>
      <c r="AE8"/>
      <c r="AF8"/>
      <c r="AG8"/>
      <c r="AH8"/>
      <c r="AI8"/>
      <c r="AJ8"/>
      <c r="AK8"/>
      <c r="AL8"/>
      <c r="AM8"/>
      <c r="AN8"/>
      <c r="AO8"/>
      <c r="AP8"/>
      <c r="AQ8"/>
      <c r="AR8"/>
    </row>
    <row r="9" spans="1:44" ht="15">
      <c r="B9" s="13" t="s">
        <v>223</v>
      </c>
      <c r="D9">
        <v>119</v>
      </c>
      <c r="E9">
        <v>3</v>
      </c>
      <c r="F9"/>
      <c r="G9" t="s">
        <v>160</v>
      </c>
      <c r="H9"/>
      <c r="I9" t="s">
        <v>130</v>
      </c>
      <c r="J9" t="s">
        <v>132</v>
      </c>
      <c r="K9" t="s">
        <v>161</v>
      </c>
      <c r="L9"/>
      <c r="M9">
        <v>3</v>
      </c>
      <c r="N9"/>
      <c r="O9"/>
      <c r="P9">
        <v>2</v>
      </c>
      <c r="Q9">
        <v>0</v>
      </c>
      <c r="R9">
        <v>0</v>
      </c>
      <c r="S9">
        <v>2</v>
      </c>
      <c r="T9"/>
      <c r="U9"/>
      <c r="V9" t="s">
        <v>162</v>
      </c>
      <c r="W9"/>
      <c r="X9"/>
      <c r="Y9"/>
      <c r="Z9"/>
      <c r="AA9"/>
      <c r="AB9"/>
      <c r="AC9"/>
      <c r="AD9"/>
      <c r="AE9"/>
      <c r="AF9"/>
      <c r="AG9"/>
      <c r="AH9"/>
      <c r="AI9"/>
      <c r="AJ9"/>
      <c r="AK9"/>
      <c r="AL9"/>
      <c r="AM9"/>
      <c r="AN9"/>
      <c r="AO9"/>
      <c r="AP9"/>
      <c r="AQ9"/>
      <c r="AR9"/>
    </row>
    <row r="10" spans="1:44" ht="15">
      <c r="B10" s="13" t="s">
        <v>224</v>
      </c>
      <c r="D10">
        <v>120</v>
      </c>
      <c r="E10">
        <v>3</v>
      </c>
      <c r="F10"/>
      <c r="G10" t="s">
        <v>163</v>
      </c>
      <c r="H10"/>
      <c r="I10" t="s">
        <v>41</v>
      </c>
      <c r="J10" t="s">
        <v>132</v>
      </c>
      <c r="K10" t="s">
        <v>159</v>
      </c>
      <c r="L10"/>
      <c r="M10">
        <v>2</v>
      </c>
      <c r="N10"/>
      <c r="O10"/>
      <c r="P10"/>
      <c r="Q10"/>
      <c r="R10"/>
      <c r="S10"/>
      <c r="T10"/>
      <c r="U10"/>
      <c r="V10" t="s">
        <v>209</v>
      </c>
      <c r="W10"/>
      <c r="X10"/>
      <c r="Y10"/>
      <c r="Z10"/>
      <c r="AA10"/>
      <c r="AB10"/>
      <c r="AC10"/>
      <c r="AD10"/>
      <c r="AE10"/>
      <c r="AF10"/>
      <c r="AG10"/>
      <c r="AH10"/>
      <c r="AI10"/>
      <c r="AJ10"/>
      <c r="AK10"/>
      <c r="AL10"/>
      <c r="AM10"/>
      <c r="AN10"/>
      <c r="AO10"/>
      <c r="AP10"/>
      <c r="AQ10"/>
      <c r="AR10"/>
    </row>
    <row r="11" spans="1:44" ht="15">
      <c r="B11" s="13" t="s">
        <v>225</v>
      </c>
      <c r="D11">
        <v>121</v>
      </c>
      <c r="E11">
        <v>3</v>
      </c>
      <c r="F11"/>
      <c r="G11" t="s">
        <v>164</v>
      </c>
      <c r="H11"/>
      <c r="I11" t="s">
        <v>131</v>
      </c>
      <c r="J11" t="s">
        <v>134</v>
      </c>
      <c r="K11"/>
      <c r="L11"/>
      <c r="M11">
        <v>0</v>
      </c>
      <c r="N11"/>
      <c r="O11"/>
      <c r="P11"/>
      <c r="Q11"/>
      <c r="R11"/>
      <c r="S11"/>
      <c r="T11"/>
      <c r="U11"/>
      <c r="V11" t="s">
        <v>165</v>
      </c>
      <c r="W11"/>
      <c r="X11"/>
      <c r="Y11"/>
      <c r="Z11"/>
      <c r="AA11"/>
      <c r="AB11"/>
      <c r="AC11"/>
      <c r="AD11"/>
      <c r="AE11"/>
      <c r="AF11"/>
      <c r="AG11"/>
      <c r="AH11"/>
      <c r="AI11"/>
      <c r="AJ11"/>
      <c r="AK11"/>
      <c r="AL11"/>
      <c r="AM11"/>
      <c r="AN11"/>
      <c r="AO11"/>
      <c r="AP11"/>
      <c r="AQ11"/>
      <c r="AR11"/>
    </row>
    <row r="12" spans="1:44" ht="15">
      <c r="D12">
        <v>122</v>
      </c>
      <c r="E12">
        <v>1</v>
      </c>
      <c r="F12" t="s">
        <v>166</v>
      </c>
      <c r="G12" t="s">
        <v>167</v>
      </c>
      <c r="H12" t="s">
        <v>35</v>
      </c>
      <c r="I12" t="s">
        <v>168</v>
      </c>
      <c r="J12"/>
      <c r="K12" t="s">
        <v>169</v>
      </c>
      <c r="L12"/>
      <c r="M12"/>
      <c r="N12"/>
      <c r="O12">
        <v>1</v>
      </c>
      <c r="P12"/>
      <c r="Q12"/>
      <c r="R12"/>
      <c r="S12"/>
      <c r="T12">
        <v>1</v>
      </c>
      <c r="U12"/>
      <c r="V12" t="s">
        <v>170</v>
      </c>
      <c r="W12"/>
      <c r="X12"/>
      <c r="Y12"/>
      <c r="Z12"/>
      <c r="AA12"/>
      <c r="AB12"/>
      <c r="AC12"/>
      <c r="AD12"/>
      <c r="AE12"/>
      <c r="AF12"/>
      <c r="AG12"/>
      <c r="AH12"/>
      <c r="AI12"/>
      <c r="AJ12"/>
      <c r="AK12"/>
      <c r="AL12"/>
      <c r="AM12"/>
      <c r="AN12"/>
      <c r="AO12"/>
      <c r="AP12"/>
      <c r="AQ12"/>
      <c r="AR12"/>
    </row>
    <row r="13" spans="1:44" ht="15">
      <c r="D13">
        <v>123</v>
      </c>
      <c r="E13">
        <v>1</v>
      </c>
      <c r="F13" t="s">
        <v>166</v>
      </c>
      <c r="G13" t="s">
        <v>171</v>
      </c>
      <c r="H13" t="s">
        <v>35</v>
      </c>
      <c r="I13" t="s">
        <v>168</v>
      </c>
      <c r="J13"/>
      <c r="K13" t="s">
        <v>169</v>
      </c>
      <c r="L13"/>
      <c r="M13"/>
      <c r="N13"/>
      <c r="O13">
        <v>7</v>
      </c>
      <c r="P13"/>
      <c r="Q13"/>
      <c r="R13"/>
      <c r="S13"/>
      <c r="T13">
        <v>7</v>
      </c>
      <c r="U13"/>
      <c r="V13" t="s">
        <v>172</v>
      </c>
      <c r="W13"/>
      <c r="X13"/>
      <c r="Y13"/>
      <c r="Z13"/>
      <c r="AA13"/>
      <c r="AB13"/>
      <c r="AC13"/>
      <c r="AD13"/>
      <c r="AE13"/>
      <c r="AF13"/>
      <c r="AG13"/>
      <c r="AH13"/>
      <c r="AI13"/>
      <c r="AJ13"/>
      <c r="AK13"/>
      <c r="AL13"/>
      <c r="AM13"/>
      <c r="AN13"/>
      <c r="AO13"/>
      <c r="AP13"/>
      <c r="AQ13"/>
      <c r="AR13"/>
    </row>
    <row r="14" spans="1:44" ht="15">
      <c r="D14">
        <v>124</v>
      </c>
      <c r="E14">
        <v>1</v>
      </c>
      <c r="F14" t="s">
        <v>166</v>
      </c>
      <c r="G14" t="s">
        <v>173</v>
      </c>
      <c r="H14" t="s">
        <v>35</v>
      </c>
      <c r="I14" t="s">
        <v>168</v>
      </c>
      <c r="J14"/>
      <c r="K14" t="s">
        <v>174</v>
      </c>
      <c r="L14"/>
      <c r="M14"/>
      <c r="N14"/>
      <c r="O14">
        <v>4</v>
      </c>
      <c r="P14"/>
      <c r="Q14"/>
      <c r="R14"/>
      <c r="S14"/>
      <c r="T14">
        <v>4</v>
      </c>
      <c r="U14"/>
      <c r="V14" t="s">
        <v>175</v>
      </c>
      <c r="W14"/>
      <c r="X14"/>
      <c r="Y14"/>
      <c r="Z14"/>
      <c r="AA14"/>
      <c r="AB14"/>
      <c r="AC14"/>
      <c r="AD14"/>
      <c r="AE14"/>
      <c r="AF14"/>
      <c r="AG14"/>
      <c r="AH14"/>
      <c r="AI14"/>
      <c r="AJ14"/>
      <c r="AK14"/>
      <c r="AL14"/>
      <c r="AM14"/>
      <c r="AN14"/>
      <c r="AO14"/>
      <c r="AP14"/>
      <c r="AQ14"/>
      <c r="AR14"/>
    </row>
    <row r="15" spans="1:44" ht="15">
      <c r="D15">
        <v>125</v>
      </c>
      <c r="E15">
        <v>1</v>
      </c>
      <c r="F15" t="s">
        <v>166</v>
      </c>
      <c r="G15" t="s">
        <v>176</v>
      </c>
      <c r="H15" t="s">
        <v>35</v>
      </c>
      <c r="I15" t="s">
        <v>177</v>
      </c>
      <c r="J15"/>
      <c r="K15" t="s">
        <v>178</v>
      </c>
      <c r="L15" t="s">
        <v>179</v>
      </c>
      <c r="M15"/>
      <c r="N15">
        <v>50</v>
      </c>
      <c r="O15">
        <v>0</v>
      </c>
      <c r="P15"/>
      <c r="Q15">
        <v>7</v>
      </c>
      <c r="R15">
        <v>5</v>
      </c>
      <c r="S15">
        <v>20</v>
      </c>
      <c r="T15"/>
      <c r="U15"/>
      <c r="V15" t="s">
        <v>180</v>
      </c>
      <c r="W15"/>
      <c r="X15"/>
      <c r="Y15"/>
      <c r="Z15"/>
      <c r="AA15"/>
      <c r="AB15"/>
      <c r="AC15"/>
      <c r="AD15"/>
      <c r="AE15"/>
      <c r="AF15"/>
      <c r="AG15"/>
      <c r="AH15"/>
      <c r="AI15"/>
      <c r="AJ15"/>
      <c r="AK15"/>
      <c r="AL15"/>
      <c r="AM15"/>
      <c r="AN15"/>
      <c r="AO15"/>
      <c r="AP15"/>
      <c r="AQ15"/>
      <c r="AR15"/>
    </row>
    <row r="16" spans="1:44" ht="15">
      <c r="D16">
        <v>126</v>
      </c>
      <c r="E16">
        <v>3</v>
      </c>
      <c r="F16" t="s">
        <v>166</v>
      </c>
      <c r="G16" t="s">
        <v>181</v>
      </c>
      <c r="H16"/>
      <c r="I16" t="s">
        <v>177</v>
      </c>
      <c r="J16"/>
      <c r="K16" t="s">
        <v>182</v>
      </c>
      <c r="L16"/>
      <c r="M16"/>
      <c r="N16">
        <v>39</v>
      </c>
      <c r="O16">
        <v>3</v>
      </c>
      <c r="P16"/>
      <c r="Q16">
        <v>4</v>
      </c>
      <c r="R16">
        <v>1</v>
      </c>
      <c r="S16">
        <v>5</v>
      </c>
      <c r="T16"/>
      <c r="U16"/>
      <c r="V16" t="s">
        <v>210</v>
      </c>
      <c r="W16" t="s">
        <v>211</v>
      </c>
      <c r="X16"/>
      <c r="Y16"/>
      <c r="Z16"/>
      <c r="AA16"/>
      <c r="AB16"/>
      <c r="AC16"/>
      <c r="AD16"/>
      <c r="AE16"/>
      <c r="AF16"/>
      <c r="AG16"/>
      <c r="AH16"/>
      <c r="AI16"/>
      <c r="AJ16"/>
      <c r="AK16"/>
      <c r="AL16"/>
      <c r="AM16"/>
      <c r="AN16"/>
      <c r="AO16"/>
      <c r="AP16"/>
      <c r="AQ16"/>
      <c r="AR16"/>
    </row>
    <row r="17" spans="4:44" ht="15">
      <c r="D17">
        <v>127</v>
      </c>
      <c r="E17">
        <v>3</v>
      </c>
      <c r="F17" t="s">
        <v>166</v>
      </c>
      <c r="G17" t="s">
        <v>183</v>
      </c>
      <c r="H17"/>
      <c r="I17" t="s">
        <v>177</v>
      </c>
      <c r="J17"/>
      <c r="K17" t="s">
        <v>182</v>
      </c>
      <c r="L17"/>
      <c r="M17"/>
      <c r="N17">
        <v>26</v>
      </c>
      <c r="O17">
        <v>2</v>
      </c>
      <c r="P17"/>
      <c r="Q17">
        <v>3</v>
      </c>
      <c r="R17">
        <v>2</v>
      </c>
      <c r="S17">
        <v>3</v>
      </c>
      <c r="T17"/>
      <c r="U17"/>
      <c r="V17" t="s">
        <v>184</v>
      </c>
      <c r="W17" t="s">
        <v>212</v>
      </c>
      <c r="X17"/>
      <c r="Y17"/>
      <c r="Z17"/>
      <c r="AA17"/>
      <c r="AB17"/>
      <c r="AC17"/>
      <c r="AD17"/>
      <c r="AE17"/>
      <c r="AF17"/>
      <c r="AG17"/>
      <c r="AH17"/>
      <c r="AI17"/>
      <c r="AJ17"/>
      <c r="AK17"/>
      <c r="AL17"/>
      <c r="AM17"/>
      <c r="AN17"/>
      <c r="AO17"/>
      <c r="AP17"/>
      <c r="AQ17"/>
      <c r="AR17"/>
    </row>
    <row r="18" spans="4:44" ht="15">
      <c r="D18">
        <v>128</v>
      </c>
      <c r="E18">
        <v>2</v>
      </c>
      <c r="F18" t="s">
        <v>166</v>
      </c>
      <c r="G18" t="s">
        <v>185</v>
      </c>
      <c r="H18"/>
      <c r="I18" t="s">
        <v>177</v>
      </c>
      <c r="J18"/>
      <c r="K18" t="s">
        <v>186</v>
      </c>
      <c r="L18"/>
      <c r="M18"/>
      <c r="N18">
        <v>32</v>
      </c>
      <c r="O18">
        <v>2</v>
      </c>
      <c r="P18"/>
      <c r="Q18">
        <v>3</v>
      </c>
      <c r="R18">
        <v>1</v>
      </c>
      <c r="S18">
        <v>4</v>
      </c>
      <c r="T18"/>
      <c r="U18"/>
      <c r="V18" t="s">
        <v>187</v>
      </c>
      <c r="W18"/>
      <c r="X18"/>
      <c r="Y18"/>
      <c r="Z18"/>
      <c r="AA18"/>
      <c r="AB18"/>
      <c r="AC18"/>
      <c r="AD18"/>
      <c r="AE18"/>
      <c r="AF18"/>
      <c r="AG18"/>
      <c r="AH18"/>
      <c r="AI18"/>
      <c r="AJ18"/>
      <c r="AK18"/>
      <c r="AL18"/>
      <c r="AM18"/>
      <c r="AN18"/>
      <c r="AO18"/>
      <c r="AP18"/>
      <c r="AQ18"/>
      <c r="AR18"/>
    </row>
    <row r="19" spans="4:44" ht="15">
      <c r="D19">
        <v>129</v>
      </c>
      <c r="E19">
        <v>3</v>
      </c>
      <c r="F19" t="s">
        <v>166</v>
      </c>
      <c r="G19" t="s">
        <v>188</v>
      </c>
      <c r="H19"/>
      <c r="I19" t="s">
        <v>168</v>
      </c>
      <c r="J19"/>
      <c r="K19" t="s">
        <v>174</v>
      </c>
      <c r="L19" t="s">
        <v>189</v>
      </c>
      <c r="M19"/>
      <c r="N19"/>
      <c r="O19">
        <v>3</v>
      </c>
      <c r="P19"/>
      <c r="Q19"/>
      <c r="R19"/>
      <c r="S19"/>
      <c r="T19">
        <v>3</v>
      </c>
      <c r="U19"/>
      <c r="V19" t="s">
        <v>190</v>
      </c>
      <c r="W19" t="s">
        <v>191</v>
      </c>
      <c r="X19"/>
      <c r="Y19"/>
      <c r="Z19"/>
      <c r="AA19"/>
      <c r="AB19"/>
      <c r="AC19"/>
      <c r="AD19"/>
      <c r="AE19"/>
      <c r="AF19"/>
      <c r="AG19"/>
      <c r="AH19"/>
      <c r="AI19"/>
      <c r="AJ19"/>
      <c r="AK19"/>
      <c r="AL19"/>
      <c r="AM19"/>
      <c r="AN19"/>
      <c r="AO19"/>
      <c r="AP19"/>
      <c r="AQ19"/>
      <c r="AR19"/>
    </row>
    <row r="20" spans="4:44" ht="15">
      <c r="D20">
        <v>130</v>
      </c>
      <c r="E20">
        <v>2</v>
      </c>
      <c r="F20" t="s">
        <v>166</v>
      </c>
      <c r="G20" t="s">
        <v>192</v>
      </c>
      <c r="H20"/>
      <c r="I20" t="s">
        <v>168</v>
      </c>
      <c r="J20"/>
      <c r="K20" t="s">
        <v>169</v>
      </c>
      <c r="L20" t="s">
        <v>189</v>
      </c>
      <c r="M20"/>
      <c r="N20"/>
      <c r="O20">
        <v>2</v>
      </c>
      <c r="P20"/>
      <c r="Q20"/>
      <c r="R20"/>
      <c r="S20"/>
      <c r="T20">
        <v>3</v>
      </c>
      <c r="U20"/>
      <c r="V20" t="s">
        <v>193</v>
      </c>
      <c r="W20" t="s">
        <v>194</v>
      </c>
      <c r="X20"/>
      <c r="Y20"/>
      <c r="Z20"/>
      <c r="AA20"/>
      <c r="AB20"/>
      <c r="AC20"/>
      <c r="AD20"/>
      <c r="AE20"/>
      <c r="AF20"/>
      <c r="AG20"/>
      <c r="AH20"/>
      <c r="AI20"/>
      <c r="AJ20"/>
      <c r="AK20"/>
      <c r="AL20"/>
      <c r="AM20"/>
      <c r="AN20"/>
      <c r="AO20"/>
      <c r="AP20"/>
      <c r="AQ20"/>
      <c r="AR20"/>
    </row>
    <row r="21" spans="4:44" ht="15">
      <c r="D21">
        <v>131</v>
      </c>
      <c r="E21">
        <v>2</v>
      </c>
      <c r="F21" t="s">
        <v>166</v>
      </c>
      <c r="G21" t="s">
        <v>195</v>
      </c>
      <c r="H21"/>
      <c r="I21" t="s">
        <v>168</v>
      </c>
      <c r="J21"/>
      <c r="K21" t="s">
        <v>174</v>
      </c>
      <c r="L21" t="s">
        <v>189</v>
      </c>
      <c r="M21"/>
      <c r="N21"/>
      <c r="O21">
        <v>2</v>
      </c>
      <c r="P21"/>
      <c r="Q21"/>
      <c r="R21"/>
      <c r="S21"/>
      <c r="T21">
        <v>4</v>
      </c>
      <c r="U21"/>
      <c r="V21" t="s">
        <v>213</v>
      </c>
      <c r="W21" t="s">
        <v>214</v>
      </c>
      <c r="X21"/>
      <c r="Y21"/>
      <c r="Z21"/>
      <c r="AA21"/>
      <c r="AB21"/>
      <c r="AC21"/>
      <c r="AD21"/>
      <c r="AE21"/>
      <c r="AF21"/>
      <c r="AG21"/>
      <c r="AH21"/>
      <c r="AI21"/>
      <c r="AJ21"/>
      <c r="AK21"/>
      <c r="AL21"/>
      <c r="AM21"/>
      <c r="AN21"/>
      <c r="AO21"/>
      <c r="AP21"/>
      <c r="AQ21"/>
      <c r="AR21"/>
    </row>
    <row r="22" spans="4:44" ht="15">
      <c r="D22">
        <v>132</v>
      </c>
      <c r="E22">
        <v>2</v>
      </c>
      <c r="F22" t="s">
        <v>166</v>
      </c>
      <c r="G22" t="s">
        <v>196</v>
      </c>
      <c r="H22"/>
      <c r="I22" t="s">
        <v>197</v>
      </c>
      <c r="J22"/>
      <c r="K22"/>
      <c r="L22"/>
      <c r="M22"/>
      <c r="N22"/>
      <c r="O22"/>
      <c r="P22"/>
      <c r="Q22"/>
      <c r="R22"/>
      <c r="S22"/>
      <c r="T22"/>
      <c r="U22"/>
      <c r="V22" t="s">
        <v>198</v>
      </c>
      <c r="W22" t="s">
        <v>199</v>
      </c>
      <c r="X22"/>
      <c r="Y22"/>
      <c r="Z22"/>
      <c r="AA22"/>
      <c r="AB22"/>
      <c r="AC22"/>
      <c r="AD22"/>
      <c r="AE22"/>
      <c r="AF22"/>
      <c r="AG22"/>
      <c r="AH22"/>
      <c r="AI22"/>
      <c r="AJ22"/>
      <c r="AK22"/>
      <c r="AL22"/>
      <c r="AM22"/>
      <c r="AN22"/>
      <c r="AO22"/>
      <c r="AP22"/>
      <c r="AQ22"/>
      <c r="AR22"/>
    </row>
    <row r="23" spans="4:44" ht="15">
      <c r="D23">
        <v>133</v>
      </c>
      <c r="E23">
        <v>2</v>
      </c>
      <c r="F23" t="s">
        <v>166</v>
      </c>
      <c r="G23" t="s">
        <v>200</v>
      </c>
      <c r="H23"/>
      <c r="I23" t="s">
        <v>197</v>
      </c>
      <c r="J23"/>
      <c r="K23"/>
      <c r="L23"/>
      <c r="M23"/>
      <c r="N23"/>
      <c r="O23"/>
      <c r="P23"/>
      <c r="Q23"/>
      <c r="R23"/>
      <c r="S23"/>
      <c r="T23"/>
      <c r="U23"/>
      <c r="V23" t="s">
        <v>201</v>
      </c>
      <c r="W23" t="s">
        <v>215</v>
      </c>
      <c r="X23"/>
      <c r="Y23"/>
      <c r="Z23"/>
      <c r="AA23"/>
      <c r="AB23"/>
      <c r="AC23"/>
      <c r="AD23"/>
      <c r="AE23"/>
      <c r="AF23"/>
      <c r="AG23"/>
      <c r="AH23"/>
      <c r="AI23"/>
      <c r="AJ23"/>
      <c r="AK23"/>
      <c r="AL23"/>
      <c r="AM23"/>
      <c r="AN23"/>
      <c r="AO23"/>
      <c r="AP23"/>
      <c r="AQ23"/>
      <c r="AR23"/>
    </row>
    <row r="24" spans="4:44" ht="15">
      <c r="D24">
        <v>134</v>
      </c>
      <c r="E24">
        <v>1</v>
      </c>
      <c r="F24" t="s">
        <v>166</v>
      </c>
      <c r="G24" t="s">
        <v>202</v>
      </c>
      <c r="H24"/>
      <c r="I24" t="s">
        <v>203</v>
      </c>
      <c r="J24"/>
      <c r="K24"/>
      <c r="L24"/>
      <c r="M24"/>
      <c r="N24"/>
      <c r="O24"/>
      <c r="P24"/>
      <c r="Q24"/>
      <c r="R24"/>
      <c r="S24"/>
      <c r="T24" s="13"/>
      <c r="U24"/>
      <c r="V24" t="s">
        <v>226</v>
      </c>
      <c r="W24"/>
      <c r="X24"/>
      <c r="Y24"/>
      <c r="Z24"/>
      <c r="AA24"/>
      <c r="AB24"/>
      <c r="AC24"/>
      <c r="AD24"/>
      <c r="AE24"/>
      <c r="AF24"/>
      <c r="AG24"/>
      <c r="AH24"/>
      <c r="AI24"/>
      <c r="AJ24"/>
      <c r="AK24"/>
      <c r="AL24">
        <v>0</v>
      </c>
      <c r="AM24"/>
      <c r="AN24"/>
      <c r="AO24"/>
      <c r="AP24"/>
      <c r="AQ24"/>
      <c r="AR24"/>
    </row>
    <row r="25" spans="4:44" ht="75">
      <c r="D25">
        <v>135</v>
      </c>
      <c r="E25">
        <v>1</v>
      </c>
      <c r="F25" t="s">
        <v>166</v>
      </c>
      <c r="G25" t="s">
        <v>204</v>
      </c>
      <c r="H25"/>
      <c r="I25" t="s">
        <v>203</v>
      </c>
      <c r="J25"/>
      <c r="K25"/>
      <c r="L25"/>
      <c r="M25">
        <v>1</v>
      </c>
      <c r="N25" t="s">
        <v>142</v>
      </c>
      <c r="O25"/>
      <c r="P25"/>
      <c r="Q25"/>
      <c r="R25"/>
      <c r="S25"/>
      <c r="T25" s="13"/>
      <c r="U25"/>
      <c r="V25" s="57" t="s">
        <v>227</v>
      </c>
      <c r="W25"/>
      <c r="X25"/>
      <c r="Y25"/>
      <c r="Z25"/>
      <c r="AA25"/>
      <c r="AB25"/>
      <c r="AC25"/>
      <c r="AD25"/>
      <c r="AE25"/>
      <c r="AF25"/>
      <c r="AG25"/>
      <c r="AH25"/>
      <c r="AI25"/>
      <c r="AJ25"/>
      <c r="AK25"/>
      <c r="AL25">
        <v>3</v>
      </c>
      <c r="AM25"/>
      <c r="AN25"/>
      <c r="AO25"/>
      <c r="AP25"/>
      <c r="AQ25"/>
      <c r="AR25"/>
    </row>
    <row r="26" spans="4:44" ht="75">
      <c r="D26">
        <v>135</v>
      </c>
      <c r="E26">
        <v>1</v>
      </c>
      <c r="F26" t="s">
        <v>166</v>
      </c>
      <c r="G26" t="s">
        <v>204</v>
      </c>
      <c r="H26"/>
      <c r="I26" t="s">
        <v>203</v>
      </c>
      <c r="J26"/>
      <c r="K26"/>
      <c r="L26"/>
      <c r="M26">
        <v>2</v>
      </c>
      <c r="N26" t="s">
        <v>142</v>
      </c>
      <c r="O26"/>
      <c r="P26"/>
      <c r="Q26"/>
      <c r="R26"/>
      <c r="S26"/>
      <c r="T26" s="13"/>
      <c r="U26"/>
      <c r="V26" s="57" t="s">
        <v>227</v>
      </c>
      <c r="W26"/>
      <c r="X26"/>
      <c r="Y26"/>
      <c r="Z26"/>
      <c r="AA26"/>
      <c r="AB26"/>
      <c r="AC26"/>
      <c r="AD26"/>
      <c r="AE26"/>
      <c r="AF26"/>
      <c r="AG26"/>
      <c r="AH26"/>
      <c r="AI26"/>
      <c r="AJ26"/>
      <c r="AK26"/>
      <c r="AL26">
        <v>3</v>
      </c>
      <c r="AM26"/>
      <c r="AN26"/>
      <c r="AO26"/>
      <c r="AP26"/>
      <c r="AQ26"/>
      <c r="AR26"/>
    </row>
    <row r="27" spans="4:44" ht="75">
      <c r="D27">
        <v>135</v>
      </c>
      <c r="E27">
        <v>1</v>
      </c>
      <c r="F27" t="s">
        <v>166</v>
      </c>
      <c r="G27" t="s">
        <v>204</v>
      </c>
      <c r="H27"/>
      <c r="I27" t="s">
        <v>203</v>
      </c>
      <c r="J27"/>
      <c r="K27"/>
      <c r="L27"/>
      <c r="M27">
        <v>2</v>
      </c>
      <c r="N27" t="s">
        <v>142</v>
      </c>
      <c r="O27"/>
      <c r="P27"/>
      <c r="Q27"/>
      <c r="R27"/>
      <c r="S27"/>
      <c r="T27" s="13"/>
      <c r="U27"/>
      <c r="V27" s="57" t="s">
        <v>227</v>
      </c>
      <c r="W27"/>
      <c r="X27"/>
      <c r="Y27"/>
      <c r="Z27"/>
      <c r="AA27"/>
      <c r="AB27"/>
      <c r="AC27"/>
      <c r="AD27"/>
      <c r="AE27"/>
      <c r="AF27"/>
      <c r="AG27"/>
      <c r="AH27"/>
      <c r="AI27"/>
      <c r="AJ27"/>
      <c r="AK27"/>
      <c r="AL27">
        <v>5</v>
      </c>
      <c r="AM27"/>
      <c r="AN27"/>
      <c r="AO27"/>
      <c r="AP27"/>
      <c r="AQ27"/>
      <c r="AR27"/>
    </row>
    <row r="28" spans="4:44" ht="75">
      <c r="D28">
        <v>135</v>
      </c>
      <c r="E28">
        <v>1</v>
      </c>
      <c r="F28" t="s">
        <v>166</v>
      </c>
      <c r="G28" t="s">
        <v>204</v>
      </c>
      <c r="H28"/>
      <c r="I28" t="s">
        <v>203</v>
      </c>
      <c r="J28"/>
      <c r="K28"/>
      <c r="L28"/>
      <c r="M28">
        <v>2</v>
      </c>
      <c r="N28" t="s">
        <v>142</v>
      </c>
      <c r="O28"/>
      <c r="P28"/>
      <c r="Q28"/>
      <c r="R28"/>
      <c r="S28"/>
      <c r="T28" s="13"/>
      <c r="U28"/>
      <c r="V28" s="57" t="s">
        <v>227</v>
      </c>
      <c r="W28"/>
      <c r="X28"/>
      <c r="Y28"/>
      <c r="Z28"/>
      <c r="AA28"/>
      <c r="AB28"/>
      <c r="AC28"/>
      <c r="AD28"/>
      <c r="AE28"/>
      <c r="AF28"/>
      <c r="AG28"/>
      <c r="AH28"/>
      <c r="AI28"/>
      <c r="AJ28"/>
      <c r="AK28"/>
      <c r="AL28">
        <v>7</v>
      </c>
      <c r="AM28"/>
      <c r="AN28"/>
      <c r="AO28"/>
      <c r="AP28"/>
      <c r="AQ28"/>
      <c r="AR28"/>
    </row>
    <row r="29" spans="4:44" ht="75">
      <c r="D29">
        <v>135</v>
      </c>
      <c r="E29">
        <v>1</v>
      </c>
      <c r="F29" t="s">
        <v>166</v>
      </c>
      <c r="G29" t="s">
        <v>204</v>
      </c>
      <c r="H29"/>
      <c r="I29" t="s">
        <v>203</v>
      </c>
      <c r="J29"/>
      <c r="K29"/>
      <c r="L29"/>
      <c r="M29">
        <v>2</v>
      </c>
      <c r="N29" t="s">
        <v>142</v>
      </c>
      <c r="O29"/>
      <c r="P29"/>
      <c r="Q29"/>
      <c r="R29"/>
      <c r="S29"/>
      <c r="T29" s="13"/>
      <c r="U29"/>
      <c r="V29" s="57" t="s">
        <v>227</v>
      </c>
      <c r="W29"/>
      <c r="X29"/>
      <c r="Y29"/>
      <c r="Z29"/>
      <c r="AA29"/>
      <c r="AB29"/>
      <c r="AC29"/>
      <c r="AD29"/>
      <c r="AE29"/>
      <c r="AF29"/>
      <c r="AG29"/>
      <c r="AH29"/>
      <c r="AI29"/>
      <c r="AJ29"/>
      <c r="AK29"/>
      <c r="AL29">
        <v>4</v>
      </c>
      <c r="AM29"/>
      <c r="AN29"/>
      <c r="AO29"/>
      <c r="AP29"/>
      <c r="AQ29"/>
      <c r="AR29"/>
    </row>
    <row r="30" spans="4:44" ht="75">
      <c r="D30">
        <v>135</v>
      </c>
      <c r="E30">
        <v>1</v>
      </c>
      <c r="F30" t="s">
        <v>166</v>
      </c>
      <c r="G30" t="s">
        <v>204</v>
      </c>
      <c r="H30"/>
      <c r="I30" t="s">
        <v>203</v>
      </c>
      <c r="J30"/>
      <c r="K30"/>
      <c r="L30"/>
      <c r="M30">
        <v>2</v>
      </c>
      <c r="N30" t="s">
        <v>142</v>
      </c>
      <c r="O30"/>
      <c r="P30"/>
      <c r="Q30"/>
      <c r="R30"/>
      <c r="S30"/>
      <c r="T30" s="13"/>
      <c r="U30"/>
      <c r="V30" s="57" t="s">
        <v>227</v>
      </c>
      <c r="W30"/>
      <c r="X30"/>
      <c r="Y30"/>
      <c r="Z30"/>
      <c r="AA30"/>
      <c r="AB30"/>
      <c r="AC30"/>
      <c r="AD30"/>
      <c r="AE30"/>
      <c r="AF30"/>
      <c r="AG30"/>
      <c r="AH30"/>
      <c r="AI30"/>
      <c r="AJ30"/>
      <c r="AK30"/>
      <c r="AL30">
        <v>6</v>
      </c>
      <c r="AM30"/>
      <c r="AN30"/>
      <c r="AO30"/>
      <c r="AP30"/>
      <c r="AQ30"/>
      <c r="AR30"/>
    </row>
    <row r="31" spans="4:44" ht="75">
      <c r="D31">
        <v>135</v>
      </c>
      <c r="E31">
        <v>1</v>
      </c>
      <c r="F31" t="s">
        <v>166</v>
      </c>
      <c r="G31" t="s">
        <v>204</v>
      </c>
      <c r="H31"/>
      <c r="I31" t="s">
        <v>203</v>
      </c>
      <c r="J31"/>
      <c r="K31"/>
      <c r="L31"/>
      <c r="M31">
        <v>2</v>
      </c>
      <c r="N31" t="s">
        <v>142</v>
      </c>
      <c r="O31"/>
      <c r="P31"/>
      <c r="Q31"/>
      <c r="R31"/>
      <c r="S31"/>
      <c r="T31" s="13"/>
      <c r="U31"/>
      <c r="V31" s="57" t="s">
        <v>227</v>
      </c>
      <c r="W31"/>
      <c r="X31"/>
      <c r="Y31"/>
      <c r="Z31"/>
      <c r="AA31"/>
      <c r="AB31"/>
      <c r="AC31"/>
      <c r="AD31"/>
      <c r="AE31"/>
      <c r="AF31"/>
      <c r="AG31"/>
      <c r="AH31"/>
      <c r="AI31"/>
      <c r="AJ31"/>
      <c r="AK31"/>
      <c r="AL31"/>
      <c r="AM31"/>
      <c r="AN31"/>
      <c r="AO31"/>
      <c r="AP31" t="s">
        <v>205</v>
      </c>
      <c r="AQ31"/>
      <c r="AR31"/>
    </row>
    <row r="32" spans="4:44" ht="15">
      <c r="D32"/>
      <c r="E32"/>
      <c r="F32"/>
      <c r="G32"/>
      <c r="H32"/>
      <c r="I32"/>
      <c r="J32"/>
      <c r="K32"/>
      <c r="L32"/>
      <c r="M32"/>
      <c r="N32"/>
      <c r="O32"/>
      <c r="P32"/>
      <c r="Q32"/>
      <c r="R32"/>
      <c r="S32"/>
      <c r="T32"/>
      <c r="U32"/>
      <c r="V32" s="57"/>
      <c r="W32"/>
      <c r="X32"/>
      <c r="Y32"/>
      <c r="Z32"/>
      <c r="AA32"/>
      <c r="AB32"/>
      <c r="AC32"/>
      <c r="AD32"/>
      <c r="AE32"/>
      <c r="AF32"/>
      <c r="AG32"/>
      <c r="AH32"/>
      <c r="AI32"/>
      <c r="AJ32"/>
      <c r="AK32"/>
      <c r="AL32"/>
      <c r="AM32"/>
      <c r="AN32"/>
      <c r="AO32"/>
      <c r="AP32"/>
      <c r="AQ32"/>
      <c r="AR32"/>
    </row>
    <row r="33" spans="1:63" ht="15">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row>
    <row r="34" spans="1:63" ht="1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row>
    <row r="35" spans="1:63" ht="1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row>
    <row r="36" spans="1:63" ht="1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row>
    <row r="37" spans="1:63" ht="1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row>
    <row r="38" spans="1:63" ht="1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row>
    <row r="39" spans="1:63" ht="1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row>
    <row r="40" spans="1:63" ht="1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row>
    <row r="41" spans="1:63" ht="1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row>
    <row r="42" spans="1:63" ht="1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row>
    <row r="43" spans="1:63" ht="1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row>
    <row r="44" spans="1:63" ht="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row>
    <row r="45" spans="1:63" ht="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row>
    <row r="46" spans="1:63" ht="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row>
    <row r="47" spans="1:63" ht="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row>
    <row r="48" spans="1:63" ht="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row>
    <row r="49" spans="1:63" ht="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row>
    <row r="50" spans="1:63" ht="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row>
    <row r="51" spans="1:63" ht="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row>
    <row r="52" spans="1:63" ht="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row>
    <row r="53" spans="1:63" ht="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row>
    <row r="54" spans="1:63" ht="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row>
    <row r="55" spans="1:63" ht="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row>
    <row r="56" spans="1:63" ht="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row>
    <row r="57" spans="1:63" ht="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row>
    <row r="58" spans="1:63" ht="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row>
    <row r="59" spans="1:63" ht="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row>
    <row r="60" spans="1:63" ht="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row>
    <row r="61" spans="1:63" ht="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row>
    <row r="62" spans="1:63" ht="15">
      <c r="A62"/>
      <c r="B62"/>
      <c r="C62"/>
      <c r="D62"/>
      <c r="E62"/>
      <c r="F62"/>
      <c r="G62"/>
      <c r="H62"/>
      <c r="I62"/>
      <c r="J62"/>
      <c r="K62"/>
      <c r="L62"/>
      <c r="M62"/>
      <c r="N62"/>
      <c r="O62"/>
      <c r="P62"/>
      <c r="Q62"/>
      <c r="R62"/>
      <c r="S62"/>
      <c r="T62"/>
      <c r="U62"/>
      <c r="V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row>
    <row r="63" spans="1:63" ht="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row>
    <row r="64" spans="1:63" ht="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row>
    <row r="65" spans="1:63" ht="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row>
    <row r="66" spans="1:63" ht="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row>
    <row r="67" spans="1:63" ht="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row>
    <row r="68" spans="1:63" ht="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row>
    <row r="69" spans="1:63" ht="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row>
    <row r="70" spans="1:63" ht="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row>
    <row r="71" spans="1:63" ht="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row>
    <row r="72" spans="1:63" ht="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row>
    <row r="73" spans="1:63" ht="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row>
    <row r="74" spans="1:63" ht="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row>
    <row r="75" spans="1:63" ht="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row>
    <row r="76" spans="1:63"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row>
    <row r="77" spans="1:63" ht="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row>
    <row r="78" spans="1:63" ht="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row>
    <row r="79" spans="1:63" ht="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row>
    <row r="80" spans="1:63" ht="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row>
    <row r="81" spans="1:63" ht="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row>
    <row r="82" spans="1:63" ht="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row>
    <row r="83" spans="1:63" ht="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row>
    <row r="84" spans="1:63" ht="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row>
    <row r="85" spans="1:63" ht="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row>
    <row r="86" spans="1:63"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row>
    <row r="87" spans="1:63"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row>
    <row r="88" spans="1:63"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row>
    <row r="89" spans="1:63"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row>
    <row r="90" spans="1:63"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row>
    <row r="91" spans="1:63"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row>
    <row r="92" spans="1:63"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row>
    <row r="93" spans="1:63"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row>
    <row r="94" spans="1:63"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row>
    <row r="95" spans="1:6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row>
    <row r="96" spans="1:6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0"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row>
    <row r="98" spans="1:40"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0"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row>
    <row r="100" spans="1:40"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row>
    <row r="101" spans="1:40"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row>
    <row r="102" spans="1:40"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row>
    <row r="103" spans="1:40"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row>
    <row r="104" spans="1:40"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row>
    <row r="105" spans="1:40"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row>
    <row r="106" spans="1:40"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row>
    <row r="107" spans="1:40"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0"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row>
    <row r="109" spans="1:40"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row>
    <row r="110" spans="1:40"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row>
    <row r="111" spans="1:40"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row>
    <row r="112" spans="1:40"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row>
    <row r="113" spans="1:40"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row>
    <row r="114" spans="1:40"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row>
    <row r="115" spans="1:40"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row>
    <row r="116" spans="1:40"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row>
    <row r="117" spans="1:40"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row>
    <row r="118" spans="1:40"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row>
    <row r="119" spans="1:40"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row>
    <row r="120" spans="1:40"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row>
    <row r="121" spans="1:40"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row>
    <row r="122" spans="1:40"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row>
    <row r="123" spans="1:40" ht="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row>
    <row r="124" spans="1:40" ht="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row>
    <row r="125" spans="1:40" ht="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row>
    <row r="126" spans="1:40" ht="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row>
    <row r="127" spans="1:40" ht="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row>
    <row r="128" spans="1:40" ht="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row>
    <row r="129" spans="1:40" ht="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row>
    <row r="130" spans="1:40" ht="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row>
    <row r="131" spans="1:40" ht="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row>
    <row r="132" spans="1:40" ht="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row>
    <row r="133" spans="1:40" ht="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row>
    <row r="134" spans="1:40" ht="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row>
    <row r="135" spans="1:40" ht="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row>
    <row r="136" spans="1:40" ht="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row>
    <row r="137" spans="1:40" ht="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row>
    <row r="138" spans="1:40" ht="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row>
    <row r="731" spans="19:19">
      <c r="S731" s="43"/>
    </row>
    <row r="732" spans="19:19">
      <c r="S732" s="43"/>
    </row>
    <row r="733" spans="19:19">
      <c r="S733" s="43"/>
    </row>
    <row r="734" spans="19:19">
      <c r="S734" s="43"/>
    </row>
    <row r="735" spans="19:19">
      <c r="S735" s="43"/>
    </row>
    <row r="736" spans="19:19">
      <c r="S736" s="43"/>
    </row>
    <row r="737" spans="19:19">
      <c r="S737" s="43"/>
    </row>
    <row r="738" spans="19:19">
      <c r="S738" s="43"/>
    </row>
    <row r="739" spans="19:19">
      <c r="S739" s="43"/>
    </row>
    <row r="740" spans="19:19">
      <c r="S740" s="43"/>
    </row>
    <row r="741" spans="19:19">
      <c r="S741" s="43"/>
    </row>
    <row r="742" spans="19:19">
      <c r="S742" s="43"/>
    </row>
    <row r="743" spans="19:19">
      <c r="S743" s="43"/>
    </row>
    <row r="744" spans="19:19">
      <c r="S744" s="43"/>
    </row>
    <row r="745" spans="19:19">
      <c r="S745" s="43"/>
    </row>
    <row r="746" spans="19:19">
      <c r="S746" s="43"/>
    </row>
    <row r="747" spans="19:19">
      <c r="S747" s="43"/>
    </row>
    <row r="748" spans="19:19">
      <c r="S748" s="43"/>
    </row>
    <row r="749" spans="19:19">
      <c r="S749" s="43"/>
    </row>
    <row r="750" spans="19:19">
      <c r="S750" s="43"/>
    </row>
    <row r="751" spans="19:19">
      <c r="S751" s="43"/>
    </row>
    <row r="752" spans="19:19">
      <c r="S752" s="43"/>
    </row>
    <row r="753" spans="19:19">
      <c r="S753" s="43"/>
    </row>
    <row r="754" spans="19:19">
      <c r="S754" s="43"/>
    </row>
    <row r="755" spans="19:19">
      <c r="S755" s="43"/>
    </row>
    <row r="756" spans="19:19">
      <c r="S756" s="43"/>
    </row>
    <row r="757" spans="19:19">
      <c r="S757" s="43"/>
    </row>
    <row r="758" spans="19:19">
      <c r="S758" s="43"/>
    </row>
    <row r="759" spans="19:19">
      <c r="S759" s="43"/>
    </row>
    <row r="760" spans="19:19">
      <c r="S760" s="43"/>
    </row>
    <row r="761" spans="19:19">
      <c r="S761" s="43"/>
    </row>
    <row r="762" spans="19:19">
      <c r="S762" s="43"/>
    </row>
    <row r="768" spans="19:19">
      <c r="S768" s="43"/>
    </row>
    <row r="769" spans="19:19">
      <c r="S769" s="43"/>
    </row>
    <row r="770" spans="19:19">
      <c r="S770" s="43"/>
    </row>
    <row r="771" spans="19:19">
      <c r="S771" s="43"/>
    </row>
    <row r="772" spans="19:19">
      <c r="S772" s="43"/>
    </row>
    <row r="773" spans="19:19">
      <c r="S773" s="43"/>
    </row>
    <row r="774" spans="19:19">
      <c r="S774" s="43"/>
    </row>
    <row r="775" spans="19:19">
      <c r="S775" s="43"/>
    </row>
    <row r="776" spans="19:19">
      <c r="S776" s="43"/>
    </row>
    <row r="777" spans="19:19">
      <c r="S777" s="43"/>
    </row>
    <row r="778" spans="19:19">
      <c r="S778" s="43"/>
    </row>
    <row r="779" spans="19:19">
      <c r="S779" s="43"/>
    </row>
    <row r="780" spans="19:19">
      <c r="S780" s="43"/>
    </row>
    <row r="783" spans="19:19">
      <c r="S783" s="43"/>
    </row>
    <row r="784" spans="19:19">
      <c r="S784" s="43"/>
    </row>
    <row r="785" spans="19:19">
      <c r="S785" s="43"/>
    </row>
    <row r="789" spans="19:19">
      <c r="S789" s="43"/>
    </row>
    <row r="790" spans="19:19">
      <c r="S790" s="43"/>
    </row>
    <row r="791" spans="19:19">
      <c r="S791" s="43"/>
    </row>
    <row r="792" spans="19:19">
      <c r="S792" s="43"/>
    </row>
    <row r="793" spans="19:19">
      <c r="S793" s="43"/>
    </row>
    <row r="794" spans="19:19">
      <c r="S794" s="43"/>
    </row>
    <row r="795" spans="19:19">
      <c r="S795" s="43"/>
    </row>
    <row r="796" spans="19:19">
      <c r="S796" s="43"/>
    </row>
    <row r="797" spans="19:19">
      <c r="S797" s="43"/>
    </row>
    <row r="799" spans="19:19">
      <c r="S799" s="43"/>
    </row>
    <row r="800" spans="19:19">
      <c r="S800" s="43"/>
    </row>
    <row r="804" spans="19:19">
      <c r="S804" s="43"/>
    </row>
    <row r="806" spans="19:19">
      <c r="S806" s="43"/>
    </row>
    <row r="807" spans="19:19">
      <c r="S807" s="43"/>
    </row>
    <row r="808" spans="19:19">
      <c r="S808" s="43"/>
    </row>
    <row r="810" spans="19:19">
      <c r="S810" s="43"/>
    </row>
    <row r="812" spans="19:19">
      <c r="S812" s="43"/>
    </row>
    <row r="813" spans="19:19">
      <c r="S813" s="43"/>
    </row>
    <row r="818" spans="19:19">
      <c r="S818" s="43"/>
    </row>
    <row r="1006" spans="20:20">
      <c r="T1006" s="44"/>
    </row>
    <row r="1007" spans="20:20">
      <c r="T1007" s="44"/>
    </row>
    <row r="1008" spans="20:20">
      <c r="T1008" s="44"/>
    </row>
    <row r="1009" spans="20:20">
      <c r="T1009" s="44"/>
    </row>
    <row r="1010" spans="20:20">
      <c r="T1010" s="44"/>
    </row>
    <row r="1011" spans="20:20">
      <c r="T1011" s="44"/>
    </row>
    <row r="1012" spans="20:20">
      <c r="T1012" s="44"/>
    </row>
    <row r="1013" spans="20:20">
      <c r="T1013" s="44"/>
    </row>
    <row r="1014" spans="20:20">
      <c r="T1014" s="44"/>
    </row>
    <row r="1015" spans="20:20">
      <c r="T1015" s="44"/>
    </row>
    <row r="1016" spans="20:20">
      <c r="T1016" s="44"/>
    </row>
    <row r="1017" spans="20:20">
      <c r="T1017" s="44"/>
    </row>
    <row r="1018" spans="20:20">
      <c r="T1018" s="44"/>
    </row>
    <row r="1019" spans="20:20">
      <c r="T1019" s="44"/>
    </row>
    <row r="1020" spans="20:20">
      <c r="T1020" s="44"/>
    </row>
    <row r="1021" spans="20:20">
      <c r="T1021" s="44"/>
    </row>
    <row r="1022" spans="20:20">
      <c r="T1022" s="44"/>
    </row>
    <row r="1023" spans="20:20">
      <c r="T1023" s="44"/>
    </row>
    <row r="1024" spans="20:20">
      <c r="T1024" s="44"/>
    </row>
    <row r="1025" spans="20:20">
      <c r="T1025" s="44"/>
    </row>
    <row r="1026" spans="20:20">
      <c r="T1026" s="44"/>
    </row>
    <row r="1027" spans="20:20">
      <c r="T1027" s="44"/>
    </row>
    <row r="1028" spans="20:20">
      <c r="T1028" s="44"/>
    </row>
    <row r="1732" spans="14:19">
      <c r="N1732" s="45"/>
      <c r="O1732" s="46"/>
      <c r="P1732" s="47"/>
      <c r="Q1732" s="48"/>
      <c r="R1732" s="49"/>
      <c r="S1732" s="50"/>
    </row>
    <row r="1733" spans="14:19">
      <c r="N1733" s="45"/>
      <c r="O1733" s="46"/>
      <c r="P1733" s="47"/>
      <c r="Q1733" s="48"/>
      <c r="R1733" s="49"/>
      <c r="S1733" s="50"/>
    </row>
    <row r="1734" spans="14:19">
      <c r="N1734" s="45"/>
      <c r="O1734" s="46"/>
      <c r="P1734" s="47"/>
      <c r="Q1734" s="48"/>
      <c r="R1734" s="49"/>
      <c r="S1734" s="50"/>
    </row>
    <row r="1735" spans="14:19">
      <c r="N1735" s="45"/>
      <c r="O1735" s="46"/>
      <c r="P1735" s="47"/>
      <c r="Q1735" s="48"/>
      <c r="R1735" s="49"/>
      <c r="S1735" s="50"/>
    </row>
    <row r="1736" spans="14:19">
      <c r="N1736" s="45"/>
      <c r="O1736" s="46"/>
      <c r="P1736" s="47"/>
      <c r="Q1736" s="48"/>
      <c r="R1736" s="49"/>
      <c r="S1736" s="50"/>
    </row>
    <row r="1737" spans="14:19">
      <c r="N1737" s="45"/>
      <c r="O1737" s="46"/>
      <c r="P1737" s="47"/>
      <c r="Q1737" s="48"/>
      <c r="R1737" s="49"/>
      <c r="S1737" s="50"/>
    </row>
    <row r="1738" spans="14:19">
      <c r="N1738" s="45"/>
      <c r="O1738" s="46"/>
      <c r="P1738" s="47"/>
      <c r="Q1738" s="48"/>
      <c r="R1738" s="49"/>
      <c r="S1738" s="50"/>
    </row>
    <row r="1739" spans="14:19">
      <c r="N1739" s="45"/>
      <c r="O1739" s="46"/>
      <c r="P1739" s="47"/>
      <c r="Q1739" s="48"/>
      <c r="R1739" s="49"/>
      <c r="S1739" s="50"/>
    </row>
    <row r="1740" spans="14:19">
      <c r="N1740" s="45"/>
      <c r="O1740" s="46"/>
      <c r="P1740" s="47"/>
      <c r="Q1740" s="48"/>
      <c r="R1740" s="49"/>
      <c r="S1740" s="50"/>
    </row>
    <row r="1741" spans="14:19">
      <c r="N1741" s="45"/>
      <c r="O1741" s="46"/>
      <c r="P1741" s="47"/>
      <c r="Q1741" s="48"/>
      <c r="R1741" s="49"/>
      <c r="S1741" s="50"/>
    </row>
    <row r="1742" spans="14:19">
      <c r="N1742" s="45"/>
      <c r="O1742" s="46"/>
      <c r="P1742" s="47"/>
      <c r="Q1742" s="48"/>
      <c r="R1742" s="49"/>
      <c r="S1742" s="50"/>
    </row>
    <row r="1743" spans="14:19">
      <c r="N1743" s="45"/>
      <c r="O1743" s="46"/>
      <c r="P1743" s="47"/>
      <c r="Q1743" s="48"/>
      <c r="R1743" s="49"/>
      <c r="S1743" s="50"/>
    </row>
    <row r="1744" spans="14:19">
      <c r="N1744" s="45"/>
      <c r="O1744" s="46"/>
      <c r="P1744" s="47"/>
      <c r="Q1744" s="48"/>
      <c r="R1744" s="49"/>
      <c r="S1744" s="50"/>
    </row>
    <row r="1745" spans="14:19">
      <c r="N1745" s="45"/>
      <c r="O1745" s="46"/>
      <c r="P1745" s="47"/>
      <c r="Q1745" s="48"/>
      <c r="R1745" s="49"/>
      <c r="S1745" s="50"/>
    </row>
    <row r="1746" spans="14:19">
      <c r="N1746" s="45"/>
      <c r="O1746" s="46"/>
      <c r="P1746" s="47"/>
      <c r="Q1746" s="48"/>
      <c r="R1746" s="49"/>
      <c r="S1746" s="50"/>
    </row>
    <row r="1747" spans="14:19">
      <c r="N1747" s="45"/>
      <c r="O1747" s="46"/>
      <c r="P1747" s="47"/>
      <c r="Q1747" s="48"/>
      <c r="R1747" s="49"/>
      <c r="S1747" s="50"/>
    </row>
    <row r="1748" spans="14:19">
      <c r="N1748" s="45"/>
      <c r="O1748" s="46"/>
      <c r="P1748" s="47"/>
      <c r="Q1748" s="48"/>
      <c r="R1748" s="49"/>
      <c r="S1748" s="50"/>
    </row>
    <row r="1749" spans="14:19">
      <c r="N1749" s="45"/>
      <c r="O1749" s="46"/>
      <c r="P1749" s="47"/>
      <c r="Q1749" s="48"/>
      <c r="R1749" s="49"/>
      <c r="S1749" s="50"/>
    </row>
    <row r="1750" spans="14:19">
      <c r="N1750" s="45"/>
      <c r="O1750" s="46"/>
      <c r="P1750" s="47"/>
      <c r="Q1750" s="48"/>
      <c r="R1750" s="49"/>
      <c r="S1750" s="50"/>
    </row>
    <row r="1751" spans="14:19">
      <c r="N1751" s="45"/>
      <c r="O1751" s="46"/>
      <c r="P1751" s="47"/>
      <c r="Q1751" s="48"/>
      <c r="R1751" s="49"/>
      <c r="S1751" s="50"/>
    </row>
    <row r="1752" spans="14:19">
      <c r="N1752" s="45"/>
      <c r="O1752" s="46"/>
      <c r="P1752" s="47"/>
      <c r="Q1752" s="48"/>
      <c r="R1752" s="49"/>
      <c r="S1752" s="50"/>
    </row>
  </sheetData>
  <sortState xmlns:xlrd2="http://schemas.microsoft.com/office/spreadsheetml/2017/richdata2" ref="A2:AP301">
    <sortCondition ref="C2:C301"/>
    <sortCondition ref="D2:D301"/>
  </sortState>
  <conditionalFormatting sqref="J11:J1048576 J1:J3">
    <cfRule type="cellIs" dxfId="55" priority="120" operator="equal">
      <formula>"Fellowship"</formula>
    </cfRule>
    <cfRule type="cellIs" dxfId="54" priority="121" operator="equal">
      <formula>"Neutral"</formula>
    </cfRule>
    <cfRule type="cellIs" dxfId="53" priority="122" operator="equal">
      <formula>"Baggins"</formula>
    </cfRule>
    <cfRule type="cellIs" dxfId="52" priority="123" operator="equal">
      <formula>"Lore"</formula>
    </cfRule>
    <cfRule type="cellIs" dxfId="51" priority="124" operator="equal">
      <formula>"Spirit"</formula>
    </cfRule>
    <cfRule type="cellIs" dxfId="50" priority="125" operator="equal">
      <formula>"Tactics"</formula>
    </cfRule>
    <cfRule type="cellIs" dxfId="49" priority="126" operator="equal">
      <formula>"Leadership"</formula>
    </cfRule>
  </conditionalFormatting>
  <conditionalFormatting sqref="AB1">
    <cfRule type="cellIs" dxfId="48" priority="92" operator="equal">
      <formula>"Fellowship"</formula>
    </cfRule>
    <cfRule type="cellIs" dxfId="47" priority="93" operator="equal">
      <formula>"Neutral"</formula>
    </cfRule>
    <cfRule type="cellIs" dxfId="46" priority="94" operator="equal">
      <formula>"Baggins"</formula>
    </cfRule>
    <cfRule type="cellIs" dxfId="45" priority="95" operator="equal">
      <formula>"Lore"</formula>
    </cfRule>
    <cfRule type="cellIs" dxfId="44" priority="96" operator="equal">
      <formula>"Spirit"</formula>
    </cfRule>
    <cfRule type="cellIs" dxfId="43" priority="97" operator="equal">
      <formula>"Tactics"</formula>
    </cfRule>
    <cfRule type="cellIs" dxfId="42" priority="98" operator="equal">
      <formula>"Leadership"</formula>
    </cfRule>
  </conditionalFormatting>
  <conditionalFormatting sqref="AB1">
    <cfRule type="cellIs" dxfId="41" priority="85" operator="equal">
      <formula>"Fellowship"</formula>
    </cfRule>
    <cfRule type="cellIs" dxfId="40" priority="86" operator="equal">
      <formula>"Neutral"</formula>
    </cfRule>
    <cfRule type="cellIs" dxfId="39" priority="87" operator="equal">
      <formula>"Baggins"</formula>
    </cfRule>
    <cfRule type="cellIs" dxfId="38" priority="88" operator="equal">
      <formula>"Lore"</formula>
    </cfRule>
    <cfRule type="cellIs" dxfId="37" priority="89" operator="equal">
      <formula>"Spirit"</formula>
    </cfRule>
    <cfRule type="cellIs" dxfId="36" priority="90" operator="equal">
      <formula>"Tactics"</formula>
    </cfRule>
    <cfRule type="cellIs" dxfId="35" priority="91" operator="equal">
      <formula>"Leadership"</formula>
    </cfRule>
  </conditionalFormatting>
  <conditionalFormatting sqref="J4">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J5">
    <cfRule type="cellIs" dxfId="27" priority="36" operator="equal">
      <formula>"Fellowship"</formula>
    </cfRule>
    <cfRule type="cellIs" dxfId="26" priority="37" operator="equal">
      <formula>"Neutral"</formula>
    </cfRule>
    <cfRule type="cellIs" dxfId="25" priority="38" operator="equal">
      <formula>"Baggins"</formula>
    </cfRule>
    <cfRule type="cellIs" dxfId="24" priority="39" operator="equal">
      <formula>"Lore"</formula>
    </cfRule>
    <cfRule type="cellIs" dxfId="23" priority="40" operator="equal">
      <formula>"Spirit"</formula>
    </cfRule>
    <cfRule type="cellIs" dxfId="22" priority="41" operator="equal">
      <formula>"Tactics"</formula>
    </cfRule>
    <cfRule type="cellIs" dxfId="21" priority="42" operator="equal">
      <formula>"Leadership"</formula>
    </cfRule>
  </conditionalFormatting>
  <conditionalFormatting sqref="J7">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6">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8:J10">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C12"/>
  <sheetViews>
    <sheetView showGridLines="0" showRowColHeaders="0" workbookViewId="0">
      <selection activeCell="B12" sqref="B12"/>
    </sheetView>
  </sheetViews>
  <sheetFormatPr defaultRowHeight="15"/>
  <cols>
    <col min="2" max="2" width="4.85546875" bestFit="1" customWidth="1"/>
    <col min="3" max="3" width="12.140625" bestFit="1" customWidth="1"/>
  </cols>
  <sheetData>
    <row r="2" spans="2:3">
      <c r="B2" s="15" t="s">
        <v>58</v>
      </c>
      <c r="C2" t="s">
        <v>59</v>
      </c>
    </row>
    <row r="3" spans="2:3">
      <c r="B3" s="5" t="s">
        <v>60</v>
      </c>
      <c r="C3" t="s">
        <v>61</v>
      </c>
    </row>
    <row r="4" spans="2:3">
      <c r="B4" s="15" t="s">
        <v>62</v>
      </c>
      <c r="C4" t="s">
        <v>63</v>
      </c>
    </row>
    <row r="5" spans="2:3">
      <c r="B5" s="15" t="s">
        <v>64</v>
      </c>
      <c r="C5" t="s">
        <v>65</v>
      </c>
    </row>
    <row r="6" spans="2:3">
      <c r="B6" s="15" t="s">
        <v>66</v>
      </c>
      <c r="C6" t="s">
        <v>67</v>
      </c>
    </row>
    <row r="7" spans="2:3">
      <c r="B7" s="15" t="s">
        <v>68</v>
      </c>
      <c r="C7" t="s">
        <v>69</v>
      </c>
    </row>
    <row r="8" spans="2:3">
      <c r="B8" s="15" t="s">
        <v>70</v>
      </c>
      <c r="C8" t="s">
        <v>71</v>
      </c>
    </row>
    <row r="9" spans="2:3">
      <c r="B9" s="15" t="s">
        <v>72</v>
      </c>
      <c r="C9" t="s">
        <v>73</v>
      </c>
    </row>
    <row r="10" spans="2:3">
      <c r="B10" s="15" t="s">
        <v>74</v>
      </c>
      <c r="C10" t="s">
        <v>75</v>
      </c>
    </row>
    <row r="11" spans="2:3">
      <c r="B11" s="15" t="s">
        <v>76</v>
      </c>
      <c r="C11" t="s">
        <v>77</v>
      </c>
    </row>
    <row r="12" spans="2:3">
      <c r="B12" s="15"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Chris</cp:lastModifiedBy>
  <dcterms:created xsi:type="dcterms:W3CDTF">2014-06-30T14:06:39Z</dcterms:created>
  <dcterms:modified xsi:type="dcterms:W3CDTF">2019-04-05T03:52:24Z</dcterms:modified>
</cp:coreProperties>
</file>