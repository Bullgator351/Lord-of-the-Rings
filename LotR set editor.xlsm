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6828"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30" yWindow="60" windowWidth="28740" windowHeight="6405" firstSheet="3" activeTab="4"/>
  </bookViews>
  <sheets>
    <sheet name="Import" sheetId="1" state="hidden" r:id="rId1"/>
    <sheet name="IDS" sheetId="3" state="hidden" r:id="rId2"/>
    <sheet name="Imported Data" sheetId="6" state="hidden" r:id="rId3"/>
    <sheet name="Sets" sheetId="7" r:id="rId4"/>
    <sheet name="Card Data" sheetId="10" r:id="rId5"/>
    <sheet name="Special Characters" sheetId="9" r:id="rId6"/>
  </sheets>
  <functionGroups builtInGroupCount="18"/>
  <definedNames>
    <definedName name="GameGUID">Sets!$A$1</definedName>
    <definedName name="GameVersion">Sets!$C$1</definedName>
  </definedNames>
  <calcPr calcId="171027"/>
  <pivotCaches>
    <pivotCache cacheId="0" r:id="rId7"/>
  </pivotCaches>
</workbook>
</file>

<file path=xl/calcChain.xml><?xml version="1.0" encoding="utf-8"?>
<calcChain xmlns="http://schemas.openxmlformats.org/spreadsheetml/2006/main">
  <c r="AI3" i="7" l="1"/>
  <c r="AH3" i="7"/>
  <c r="AG3" i="7"/>
  <c r="AF3" i="7"/>
  <c r="AE3" i="7"/>
  <c r="AD3" i="7"/>
  <c r="AC3" i="7"/>
  <c r="AB3" i="7"/>
  <c r="AA3" i="7"/>
  <c r="Z3" i="7"/>
  <c r="Y3" i="7"/>
  <c r="W3" i="7"/>
  <c r="V3" i="7"/>
  <c r="U3" i="7"/>
  <c r="T3" i="7"/>
  <c r="S3" i="7"/>
  <c r="Q3" i="7"/>
  <c r="P3" i="7"/>
  <c r="O3" i="7"/>
  <c r="N3" i="7"/>
  <c r="M3" i="7"/>
  <c r="L3" i="7"/>
  <c r="K3" i="7"/>
  <c r="I3" i="7"/>
  <c r="H3" i="7" s="1"/>
  <c r="G3" i="7"/>
  <c r="F3" i="7"/>
  <c r="E3" i="7"/>
  <c r="B3" i="6" l="1"/>
  <c r="A3" i="6" s="1"/>
  <c r="G3" i="6"/>
  <c r="B4" i="6"/>
  <c r="A4" i="6" s="1"/>
  <c r="G4" i="6"/>
  <c r="B5" i="6"/>
  <c r="A5" i="6" s="1"/>
  <c r="G5" i="6"/>
  <c r="B6" i="6"/>
  <c r="A6" i="6" s="1"/>
  <c r="G6" i="6"/>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G2" i="6"/>
  <c r="Y6" i="6" l="1"/>
  <c r="Y4" i="6"/>
  <c r="Y5" i="6"/>
  <c r="Y3" i="6"/>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B2" i="6"/>
  <c r="Z3" i="6" l="1"/>
  <c r="AB3" i="6"/>
  <c r="AD3" i="6"/>
  <c r="AF3" i="6"/>
  <c r="AH3" i="6"/>
  <c r="AJ3" i="6"/>
  <c r="AL3" i="6"/>
  <c r="AN3" i="6"/>
  <c r="Z4" i="6"/>
  <c r="AB4" i="6"/>
  <c r="AD4" i="6"/>
  <c r="AF4" i="6"/>
  <c r="AH4" i="6"/>
  <c r="AJ4" i="6"/>
  <c r="AL4" i="6"/>
  <c r="AN4" i="6"/>
  <c r="Z5" i="6"/>
  <c r="AB5" i="6"/>
  <c r="AD5" i="6"/>
  <c r="AF5" i="6"/>
  <c r="AH5" i="6"/>
  <c r="AJ5" i="6"/>
  <c r="AL5" i="6"/>
  <c r="AN5" i="6"/>
  <c r="Z6" i="6"/>
  <c r="AB6" i="6"/>
  <c r="AD6" i="6"/>
  <c r="AF6" i="6"/>
  <c r="AH6" i="6"/>
  <c r="AJ6" i="6"/>
  <c r="AL6" i="6"/>
  <c r="AN6" i="6"/>
  <c r="AA3" i="6"/>
  <c r="AC3" i="6"/>
  <c r="AE3" i="6"/>
  <c r="AG3" i="6"/>
  <c r="AI3" i="6"/>
  <c r="AK3" i="6"/>
  <c r="AM3" i="6"/>
  <c r="AA4" i="6"/>
  <c r="AC4" i="6"/>
  <c r="AE4" i="6"/>
  <c r="AG4" i="6"/>
  <c r="AI4" i="6"/>
  <c r="AK4" i="6"/>
  <c r="AM4" i="6"/>
  <c r="AA5" i="6"/>
  <c r="AC5" i="6"/>
  <c r="AE5" i="6"/>
  <c r="AG5" i="6"/>
  <c r="AI5" i="6"/>
  <c r="AK5" i="6"/>
  <c r="AM5" i="6"/>
  <c r="AA6" i="6"/>
  <c r="AC6" i="6"/>
  <c r="AE6" i="6"/>
  <c r="AG6" i="6"/>
  <c r="AI6" i="6"/>
  <c r="AK6" i="6"/>
  <c r="AM6" i="6"/>
  <c r="F3" i="6"/>
  <c r="H3" i="6"/>
  <c r="J3" i="6"/>
  <c r="L3" i="6"/>
  <c r="N3" i="6"/>
  <c r="P3" i="6"/>
  <c r="R3" i="6"/>
  <c r="T3" i="6"/>
  <c r="V3" i="6"/>
  <c r="X3" i="6"/>
  <c r="F4" i="6"/>
  <c r="H4" i="6"/>
  <c r="J4" i="6"/>
  <c r="L4" i="6"/>
  <c r="N4" i="6"/>
  <c r="P4" i="6"/>
  <c r="R4" i="6"/>
  <c r="T4" i="6"/>
  <c r="V4" i="6"/>
  <c r="X4" i="6"/>
  <c r="F5" i="6"/>
  <c r="H5" i="6"/>
  <c r="J5" i="6"/>
  <c r="L5" i="6"/>
  <c r="N5" i="6"/>
  <c r="P5" i="6"/>
  <c r="R5" i="6"/>
  <c r="T5" i="6"/>
  <c r="V5" i="6"/>
  <c r="X5" i="6"/>
  <c r="F6" i="6"/>
  <c r="H6" i="6"/>
  <c r="J6" i="6"/>
  <c r="L6" i="6"/>
  <c r="N6" i="6"/>
  <c r="P6" i="6"/>
  <c r="R6" i="6"/>
  <c r="T6" i="6"/>
  <c r="V6" i="6"/>
  <c r="X6" i="6"/>
  <c r="E3" i="6"/>
  <c r="I3" i="6"/>
  <c r="K3" i="6"/>
  <c r="M3" i="6"/>
  <c r="O3" i="6"/>
  <c r="Q3" i="6"/>
  <c r="S3" i="6"/>
  <c r="U3" i="6"/>
  <c r="W3" i="6"/>
  <c r="E4" i="6"/>
  <c r="I4" i="6"/>
  <c r="K4" i="6"/>
  <c r="M4" i="6"/>
  <c r="O4" i="6"/>
  <c r="Q4" i="6"/>
  <c r="S4" i="6"/>
  <c r="U4" i="6"/>
  <c r="W4" i="6"/>
  <c r="E5" i="6"/>
  <c r="I5" i="6"/>
  <c r="K5" i="6"/>
  <c r="M5" i="6"/>
  <c r="O5" i="6"/>
  <c r="Q5" i="6"/>
  <c r="S5" i="6"/>
  <c r="U5" i="6"/>
  <c r="W5" i="6"/>
  <c r="E6" i="6"/>
  <c r="I6" i="6"/>
  <c r="K6" i="6"/>
  <c r="M6" i="6"/>
  <c r="O6" i="6"/>
  <c r="Q6" i="6"/>
  <c r="S6" i="6"/>
  <c r="U6" i="6"/>
  <c r="W6" i="6"/>
  <c r="AO6" i="6"/>
  <c r="AO4" i="6"/>
  <c r="AP5" i="6"/>
  <c r="AP3" i="6"/>
  <c r="AP6" i="6"/>
  <c r="AP4" i="6"/>
  <c r="AO5" i="6"/>
  <c r="AO3" i="6"/>
  <c r="T2" i="6"/>
  <c r="AO2" i="6"/>
  <c r="AM2" i="6"/>
  <c r="AK2" i="6"/>
  <c r="AI2" i="6"/>
  <c r="AG2" i="6"/>
  <c r="AE2" i="6"/>
  <c r="AC2" i="6"/>
  <c r="AA2" i="6"/>
  <c r="AB2" i="6"/>
  <c r="AP2" i="6"/>
  <c r="AN2" i="6"/>
  <c r="AL2" i="6"/>
  <c r="AJ2" i="6"/>
  <c r="AH2" i="6"/>
  <c r="AF2" i="6"/>
  <c r="AD2" i="6"/>
  <c r="Z2" i="6"/>
  <c r="M2" i="6"/>
  <c r="E2" i="6"/>
  <c r="S2" i="6"/>
  <c r="Q2" i="6"/>
  <c r="O2" i="6"/>
  <c r="U2" i="6"/>
  <c r="R2" i="6"/>
  <c r="P2" i="6"/>
  <c r="N2" i="6"/>
  <c r="Y2" i="6"/>
  <c r="A2" i="6"/>
  <c r="H2" i="6"/>
  <c r="J2" i="6"/>
  <c r="L2" i="6"/>
  <c r="V2" i="6"/>
  <c r="X2" i="6"/>
  <c r="I2" i="6"/>
  <c r="K2" i="6"/>
  <c r="W2" i="6"/>
  <c r="F2" i="6"/>
</calcChain>
</file>

<file path=xl/connections.xml><?xml version="1.0" encoding="utf-8"?>
<connections xmlns="http://schemas.openxmlformats.org/spreadsheetml/2006/main">
  <connection id="1" name="set" type="4" refreshedVersion="0" background="1">
    <webPr xml="1" sourceData="1" url="C:\Users\Daryl\Desktop\61747121-05d1-4216-8c22-06dcc958e7a3\set.xml" htmlTables="1" htmlFormat="all"/>
  </connection>
</connections>
</file>

<file path=xl/sharedStrings.xml><?xml version="1.0" encoding="utf-8"?>
<sst xmlns="http://schemas.openxmlformats.org/spreadsheetml/2006/main" count="1112" uniqueCount="180">
  <si>
    <t>name</t>
  </si>
  <si>
    <t>id</t>
  </si>
  <si>
    <t>gameId</t>
  </si>
  <si>
    <t>gameVersion</t>
  </si>
  <si>
    <t>version</t>
  </si>
  <si>
    <t>value</t>
  </si>
  <si>
    <t>type</t>
  </si>
  <si>
    <t>id2</t>
  </si>
  <si>
    <t>name3</t>
  </si>
  <si>
    <t>name4</t>
  </si>
  <si>
    <t>name5</t>
  </si>
  <si>
    <t>name6</t>
  </si>
  <si>
    <t>value7</t>
  </si>
  <si>
    <t>a21af4e8-be4b-4cda-a6b6-534f9717391f</t>
  </si>
  <si>
    <t>Type</t>
  </si>
  <si>
    <t>Sphere</t>
  </si>
  <si>
    <t>Cost</t>
  </si>
  <si>
    <t>Engagement Cost</t>
  </si>
  <si>
    <t>Unique</t>
  </si>
  <si>
    <t>Setup</t>
  </si>
  <si>
    <t>Attack</t>
  </si>
  <si>
    <t>Defense</t>
  </si>
  <si>
    <t>Willpower</t>
  </si>
  <si>
    <t>Health</t>
  </si>
  <si>
    <t>Traits</t>
  </si>
  <si>
    <t>Text</t>
  </si>
  <si>
    <t>Shadow</t>
  </si>
  <si>
    <t>Keywords</t>
  </si>
  <si>
    <t>Threat</t>
  </si>
  <si>
    <t>Quest Points</t>
  </si>
  <si>
    <t>Encounter Set</t>
  </si>
  <si>
    <t>Quantity</t>
  </si>
  <si>
    <t>Victory Points</t>
  </si>
  <si>
    <t>Hero</t>
  </si>
  <si>
    <t>Leadership</t>
  </si>
  <si>
    <t>‰</t>
  </si>
  <si>
    <t>3</t>
  </si>
  <si>
    <t>2</t>
  </si>
  <si>
    <t>1</t>
  </si>
  <si>
    <t>Lore</t>
  </si>
  <si>
    <t>5</t>
  </si>
  <si>
    <t>Attachment</t>
  </si>
  <si>
    <t>Enemy</t>
  </si>
  <si>
    <t>Location</t>
  </si>
  <si>
    <t>Quest</t>
  </si>
  <si>
    <t>B</t>
  </si>
  <si>
    <t>Set</t>
  </si>
  <si>
    <t>GUID</t>
  </si>
  <si>
    <t>Name</t>
  </si>
  <si>
    <t>Side B</t>
  </si>
  <si>
    <t>ID</t>
  </si>
  <si>
    <t>value8</t>
  </si>
  <si>
    <t>value9</t>
  </si>
  <si>
    <t>value10</t>
  </si>
  <si>
    <t>value11</t>
  </si>
  <si>
    <t>Card Number</t>
  </si>
  <si>
    <t>2.3.6.0</t>
  </si>
  <si>
    <t>Unused</t>
  </si>
  <si>
    <t>Ò</t>
  </si>
  <si>
    <t>[Willpower]</t>
  </si>
  <si>
    <t>$</t>
  </si>
  <si>
    <t>[Threat]</t>
  </si>
  <si>
    <t>Û</t>
  </si>
  <si>
    <t>[Attack]</t>
  </si>
  <si>
    <t>Ú</t>
  </si>
  <si>
    <t>[Defense]</t>
  </si>
  <si>
    <t>Ì</t>
  </si>
  <si>
    <t>[Leadership]</t>
  </si>
  <si>
    <t>Ê</t>
  </si>
  <si>
    <t>[Spirit]</t>
  </si>
  <si>
    <t>Ï</t>
  </si>
  <si>
    <t>[Tactics]</t>
  </si>
  <si>
    <t>Î</t>
  </si>
  <si>
    <t>[Lore]</t>
  </si>
  <si>
    <t>Í</t>
  </si>
  <si>
    <t>[Baggins]</t>
  </si>
  <si>
    <t>☺</t>
  </si>
  <si>
    <t>[Fellowship]</t>
  </si>
  <si>
    <t>[Unique]</t>
  </si>
  <si>
    <t>1.0</t>
  </si>
  <si>
    <t>61747121-05d1-4216-8c22-06dcc958e7a3</t>
  </si>
  <si>
    <t>cd20023c-210a-498f-9183-65c461183c4c</t>
  </si>
  <si>
    <t>ec979e5e-270f-41dd-9ea4-de77431a423a</t>
  </si>
  <si>
    <t>13c9bc79-dee5-47a6-8649-ddff6a753bf6</t>
  </si>
  <si>
    <t>bff0cd7a-8fe5-4d18-91e9-d3dbf885b01c</t>
  </si>
  <si>
    <t>86a8cb61-a4d2-40f7-82a7-adfe5a835acd</t>
  </si>
  <si>
    <t>Aragorn</t>
  </si>
  <si>
    <t>Protector of Lórien</t>
  </si>
  <si>
    <t>Ungoliant's Spawn</t>
  </si>
  <si>
    <t>Great Forest Web</t>
  </si>
  <si>
    <t>The Necromancer's Tower - 1A</t>
  </si>
  <si>
    <t>Dunedain. Noble. Ranger.</t>
  </si>
  <si>
    <t>Sentinel.</t>
  </si>
  <si>
    <t>12</t>
  </si>
  <si>
    <t>Response: After Aragorn commits to a quest, spend 1 resource from his resource pool to ready him. 
You can now use "Quotes" &amp; Ampersands!
hit "ALT+Enter" for 
Newlines!</t>
  </si>
  <si>
    <t>Title.</t>
  </si>
  <si>
    <t>Attach to a hero.</t>
  </si>
  <si>
    <t>Action: Discard a card from your hand to give attached hero +1 Ú or +1 Ò until the end of the phase. Limit 3 times per phase.</t>
  </si>
  <si>
    <t>Creature. Spider.</t>
  </si>
  <si>
    <t>32</t>
  </si>
  <si>
    <t>9</t>
  </si>
  <si>
    <t>When Revealed: Each character currently committed to a quest gets -1 Ò until the end of the phase.</t>
  </si>
  <si>
    <t>Shadow: Raise defending player's threat by 4. (Raise defending player's threat by 8 instead if this attack is undefended.)</t>
  </si>
  <si>
    <t>Spiders of Mirkwood</t>
  </si>
  <si>
    <t>Forest.</t>
  </si>
  <si>
    <t>Travel: Each player must exhaust 1 hero he controls to travel here.</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</si>
  <si>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</si>
  <si>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Escape from Dol Guldur</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</si>
  <si>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</si>
  <si>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</si>
  <si>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</si>
  <si>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Reserved</t>
  </si>
  <si>
    <t>Set GUID</t>
  </si>
  <si>
    <t>Set name</t>
  </si>
  <si>
    <t>Lord of the Rings</t>
  </si>
  <si>
    <t>My Set</t>
  </si>
  <si>
    <t>Card GUID</t>
  </si>
  <si>
    <t>Trait (Heroes)</t>
  </si>
  <si>
    <t>Dwarf</t>
  </si>
  <si>
    <t>Gondor</t>
  </si>
  <si>
    <t>Rohan</t>
  </si>
  <si>
    <t>Silvan</t>
  </si>
  <si>
    <t>Hobbit</t>
  </si>
  <si>
    <t>Outlands</t>
  </si>
  <si>
    <t>Noldor</t>
  </si>
  <si>
    <t>Eagle</t>
  </si>
  <si>
    <t>Ranger</t>
  </si>
  <si>
    <t>Noble</t>
  </si>
  <si>
    <t>Song</t>
  </si>
  <si>
    <t>Treachery</t>
  </si>
  <si>
    <t>Ally</t>
  </si>
  <si>
    <t>Event</t>
  </si>
  <si>
    <t>Spirit</t>
  </si>
  <si>
    <t>Tactics</t>
  </si>
  <si>
    <t>Neutral</t>
  </si>
  <si>
    <t>Condition.</t>
  </si>
  <si>
    <t>Gondor. Warrior.</t>
  </si>
  <si>
    <t>TOTAL CARDS</t>
  </si>
  <si>
    <t>Player Cards</t>
  </si>
  <si>
    <t>Encounter Cards</t>
  </si>
  <si>
    <t>Hero Cards</t>
  </si>
  <si>
    <t>Card Counts (with quantities)</t>
  </si>
  <si>
    <t>A</t>
  </si>
  <si>
    <t>My Custom Set</t>
  </si>
  <si>
    <t>Gondorian Spearman</t>
  </si>
  <si>
    <t>Response: After Gondorian Spearman is declared as a defender, deal 1 damage to the attacking enemy.</t>
  </si>
  <si>
    <t>Unexpected Courage</t>
  </si>
  <si>
    <t>Action: Exhaust Unexpected Courage to ready attached hero.</t>
  </si>
  <si>
    <t>Lore of Imladris</t>
  </si>
  <si>
    <t>Action: Choose a character. Heal all damage from that character.</t>
  </si>
  <si>
    <t>Gandalf</t>
  </si>
  <si>
    <t>Istari.</t>
  </si>
  <si>
    <t>At the end of the round, discard Gandalf from play.</t>
  </si>
  <si>
    <t>Response: After Gandalf enters play, (choose 1): draw 3 cards, deal 4 damage to 1 enemy in play, or reduce your threat by 5.</t>
  </si>
  <si>
    <t>The Necromancer's Reach</t>
  </si>
  <si>
    <t>When Revealed: Deal 1 damage to each exhausted character.</t>
  </si>
  <si>
    <t>Gladden Fields</t>
  </si>
  <si>
    <t>Marshland.</t>
  </si>
  <si>
    <t>Forced: While Gladden Fields is the active location, each player must raise his threat by an additional point during the refresh phase.</t>
  </si>
  <si>
    <t>The Necromancer's Tower</t>
  </si>
  <si>
    <t>Journey Down the Anduin</t>
  </si>
  <si>
    <t>Dol Guldur Orcs</t>
  </si>
  <si>
    <t>Through the Caverns</t>
  </si>
  <si>
    <t>15</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</si>
  <si>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</si>
  <si>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Out of the Dungeons</t>
  </si>
  <si>
    <t>7</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</si>
  <si>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</si>
  <si>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773e1e82-3ceb-4447-8c48-3fcd1dee2a21</t>
  </si>
  <si>
    <t>f57973da-929f-4f6e-83a4-28883c10c4b4</t>
  </si>
  <si>
    <t>eccdec73-c675-4580-bef4-ef28d0c7a8d0</t>
  </si>
  <si>
    <t>dfb27ce3-924c-4f47-8b46-60e0da780b07</t>
  </si>
  <si>
    <t>00b61cdb-7117-467e-90c7-7643dc36bee9</t>
  </si>
  <si>
    <t>78e5219b-a23a-4c40-b3b4-c9c392d84e92</t>
  </si>
  <si>
    <t>4d49aedf-b45c-4237-b0c1-1cec13ee2f16</t>
  </si>
  <si>
    <t>ecc9f0f4-f2ba-4099-a2d9-de05b5563086</t>
  </si>
  <si>
    <t>10137ad8-8adc-48ef-af98-c319daa8d09a</t>
  </si>
  <si>
    <t>d30408ec-e1ba-41b2-8514-2b613ce26457</t>
  </si>
  <si>
    <t>174bfe78-5292-4644-917c-46cc35406b8d</t>
  </si>
  <si>
    <t>00000000-05d1-4216-8c22-06dcc958e7a3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</si>
</sst>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Calibri"/>
      <family val="2"/>
      <scheme val="minor"/>
    </font>
    <font>
      <b/>
      <sz val="11"/>
      <color theme="1"/>
      <name val="TimesNewRomanLOTR"/>
      <family val="1"/>
    </font>
    <font>
      <sz val="11"/>
      <color theme="1"/>
      <name val="TimesNewRomanLOTR"/>
      <family val="1"/>
    </font>
    <font>
      <b/>
      <sz val="11"/>
      <color rgb="FFFFC000"/>
      <name val="TimesNewRomanLOTR"/>
      <family val="1"/>
    </font>
    <font>
      <b/>
      <sz val="9"/>
      <color rgb="FFFFC000"/>
      <name val="TimesNewRomanLOTR"/>
      <family val="1"/>
    </font>
    <font>
      <b/>
      <sz val="9"/>
      <color theme="1"/>
      <name val="TimesNewRomanLOTR"/>
      <family val="1"/>
    </font>
    <font>
      <sz val="9"/>
      <color theme="1"/>
      <name val="TimesNewRomanLOTR"/>
      <family val="1"/>
    </font>
    <font>
      <sz val="11"/>
      <color rgb="FF373737"/>
      <name val="TimesNewRomanLOTR"/>
      <family val="1"/>
    </font>
    <font>
      <sz val="11"/>
      <color rgb="FF0070C0"/>
      <name val="Calibri"/>
      <family val="2"/>
      <scheme val="minor"/>
    </font>
    <font>
      <sz val="11"/>
      <color theme="4"/>
      <name val="Calibri"/>
      <family val="2"/>
      <scheme val="minor"/>
    </font>
    <font>
      <sz val="11"/>
      <color rgb="FFFFC000"/>
      <name val="Calibri"/>
      <family val="2"/>
      <scheme val="minor"/>
    </font>
    <font>
      <b/>
      <sz val="9"/>
      <color rgb="FFFFC000"/>
      <name val="Calibri"/>
      <family val="2"/>
      <scheme val="minor"/>
    </font>
    <font>
      <b/>
      <sz val="9"/>
      <color theme="1"/>
      <name val="Calibri"/>
      <family val="2"/>
      <scheme val="minor"/>
    </font>
    <font>
      <sz val="9"/>
      <name val="Calibri"/>
      <family val="2"/>
      <scheme val="minor"/>
    </font>
    <font>
      <sz val="11"/>
      <color rgb="FF000000"/>
      <name val="Calibri"/>
      <family val="2"/>
    </font>
  </fonts>
  <fills count="11">
    <fill>
      <patternFill patternType="none"/>
    </fill>
    <fill>
      <patternFill patternType="gray125"/>
    </fill>
    <fill>
      <patternFill patternType="solid">
        <fgColor theme="1"/>
        <bgColor indexed="64"/>
      </patternFill>
    </fill>
    <fill>
      <patternFill patternType="solid">
        <fgColor rgb="FFFFFF99"/>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1" tint="0.34998626667073579"/>
        <bgColor indexed="64"/>
      </patternFill>
    </fill>
  </fills>
  <borders count="6">
    <border>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69">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1" fillId="0" borderId="0" xfId="0" applyFont="1"/>
    <xf numFmtId="0" fontId="2" fillId="0" borderId="0" xfId="0" applyFont="1"/>
    <xf numFmtId="0" fontId="2" fillId="0" borderId="0" xfId="0" applyFont="1" applyAlignment="1">
      <alignment wrapText="1"/>
    </xf>
    <xf numFmtId="0" fontId="3" fillId="2" borderId="0" xfId="0" applyFont="1" applyFill="1"/>
    <xf numFmtId="0" fontId="3" fillId="2" borderId="0" xfId="0" applyFont="1" applyFill="1" applyAlignment="1">
      <alignment textRotation="90"/>
    </xf>
    <xf numFmtId="0" fontId="3" fillId="2" borderId="0" xfId="0" applyFont="1" applyFill="1" applyAlignment="1">
      <alignment wrapText="1"/>
    </xf>
    <xf numFmtId="0" fontId="4" fillId="2" borderId="0" xfId="0" applyFont="1" applyFill="1"/>
    <xf numFmtId="0" fontId="4" fillId="2" borderId="0" xfId="0" applyFont="1" applyFill="1" applyAlignment="1">
      <alignment wrapText="1"/>
    </xf>
    <xf numFmtId="0" fontId="5" fillId="0" borderId="0" xfId="0" applyFont="1"/>
    <xf numFmtId="0" fontId="6" fillId="0" borderId="0" xfId="0" applyFont="1"/>
    <xf numFmtId="0" fontId="6" fillId="0" borderId="0" xfId="0" applyFont="1" applyAlignment="1">
      <alignment wrapText="1"/>
    </xf>
    <xf numFmtId="0" fontId="7" fillId="0" borderId="0" xfId="0" applyFont="1"/>
    <xf numFmtId="0" fontId="4" fillId="2" borderId="0" xfId="0" applyFont="1" applyFill="1" applyAlignment="1">
      <alignment textRotation="180"/>
    </xf>
    <xf numFmtId="0" fontId="8" fillId="0" borderId="0" xfId="0" applyFont="1" applyBorder="1"/>
    <xf numFmtId="0" fontId="9" fillId="0" borderId="0" xfId="0" applyFont="1"/>
    <xf numFmtId="49" fontId="8" fillId="0" borderId="0" xfId="0" applyNumberFormat="1" applyFont="1" applyBorder="1"/>
    <xf numFmtId="0" fontId="0" fillId="0" borderId="0" xfId="0" applyFont="1"/>
    <xf numFmtId="0" fontId="0" fillId="0" borderId="0" xfId="0" quotePrefix="1"/>
    <xf numFmtId="0" fontId="10" fillId="2" borderId="0" xfId="0" applyFont="1" applyFill="1"/>
    <xf numFmtId="0" fontId="4" fillId="2" borderId="0" xfId="0" applyFont="1" applyFill="1" applyAlignment="1"/>
    <xf numFmtId="0" fontId="6" fillId="3" borderId="1" xfId="0" applyNumberFormat="1" applyFont="1" applyFill="1" applyBorder="1" applyAlignment="1">
      <alignment horizontal="center"/>
    </xf>
    <xf numFmtId="0" fontId="6" fillId="4" borderId="1" xfId="0" applyNumberFormat="1" applyFont="1" applyFill="1" applyBorder="1" applyAlignment="1">
      <alignment horizontal="center"/>
    </xf>
    <xf numFmtId="0" fontId="6" fillId="5" borderId="1" xfId="0" applyNumberFormat="1" applyFont="1" applyFill="1" applyBorder="1" applyAlignment="1">
      <alignment horizontal="center"/>
    </xf>
    <xf numFmtId="0" fontId="6" fillId="6" borderId="1" xfId="0" applyNumberFormat="1" applyFont="1" applyFill="1" applyBorder="1" applyAlignment="1">
      <alignment horizontal="center"/>
    </xf>
    <xf numFmtId="0" fontId="6" fillId="7" borderId="1" xfId="0" applyNumberFormat="1" applyFont="1" applyFill="1" applyBorder="1" applyAlignment="1">
      <alignment horizontal="center"/>
    </xf>
    <xf numFmtId="0" fontId="6" fillId="8" borderId="1" xfId="0" applyFont="1" applyFill="1" applyBorder="1" applyAlignment="1">
      <alignment horizontal="center" wrapText="1"/>
    </xf>
    <xf numFmtId="0" fontId="6" fillId="9" borderId="1" xfId="0" applyFont="1" applyFill="1" applyBorder="1"/>
    <xf numFmtId="0" fontId="11" fillId="2" borderId="2" xfId="0" applyFont="1" applyFill="1" applyBorder="1"/>
    <xf numFmtId="0" fontId="12" fillId="0" borderId="2" xfId="0" applyFont="1" applyBorder="1" applyAlignment="1">
      <alignment horizontal="center"/>
    </xf>
    <xf numFmtId="0" fontId="13" fillId="0" borderId="2" xfId="0" applyFont="1" applyFill="1" applyBorder="1" applyAlignment="1">
      <alignment horizontal="center"/>
    </xf>
    <xf numFmtId="0" fontId="11" fillId="2" borderId="2" xfId="0" applyFont="1" applyFill="1" applyBorder="1" applyAlignment="1">
      <alignment horizontal="center"/>
    </xf>
    <xf numFmtId="0" fontId="4" fillId="10" borderId="0" xfId="0" applyFont="1" applyFill="1"/>
    <xf numFmtId="0" fontId="4" fillId="10" borderId="0" xfId="0" applyFont="1" applyFill="1" applyAlignment="1">
      <alignment textRotation="180"/>
    </xf>
    <xf numFmtId="0" fontId="4" fillId="10" borderId="0" xfId="0" applyFont="1" applyFill="1" applyAlignment="1"/>
    <xf numFmtId="0" fontId="4" fillId="10" borderId="0" xfId="0" applyFont="1" applyFill="1" applyAlignment="1">
      <alignment wrapText="1"/>
    </xf>
    <xf numFmtId="0" fontId="4" fillId="10" borderId="1" xfId="0" applyNumberFormat="1" applyFont="1" applyFill="1" applyBorder="1" applyAlignment="1">
      <alignment horizontal="center" textRotation="180"/>
    </xf>
    <xf numFmtId="0" fontId="4" fillId="10" borderId="1" xfId="0" applyFont="1" applyFill="1" applyBorder="1" applyAlignment="1">
      <alignment horizontal="center" textRotation="180" wrapText="1"/>
    </xf>
    <xf numFmtId="0" fontId="4" fillId="10" borderId="1" xfId="0" applyFont="1" applyFill="1" applyBorder="1" applyAlignment="1">
      <alignment textRotation="180"/>
    </xf>
    <xf numFmtId="11" fontId="6" fillId="0" borderId="0" xfId="0" applyNumberFormat="1" applyFont="1"/>
    <xf numFmtId="0" fontId="4" fillId="2" borderId="1" xfId="0" applyNumberFormat="1" applyFont="1" applyFill="1" applyBorder="1" applyAlignment="1">
      <alignment horizontal="center" textRotation="180"/>
    </xf>
    <xf numFmtId="0" fontId="4" fillId="2" borderId="1" xfId="0" applyFont="1" applyFill="1" applyBorder="1" applyAlignment="1">
      <alignment horizontal="center" textRotation="180" wrapText="1"/>
    </xf>
    <xf numFmtId="0" fontId="4" fillId="2" borderId="1" xfId="0" applyFont="1" applyFill="1" applyBorder="1" applyAlignment="1">
      <alignment textRotation="180"/>
    </xf>
    <xf numFmtId="0" fontId="6" fillId="3" borderId="1" xfId="0" applyFont="1" applyFill="1" applyBorder="1" applyAlignment="1">
      <alignment horizontal="center"/>
    </xf>
    <xf numFmtId="0" fontId="6" fillId="4" borderId="1" xfId="0" applyFont="1" applyFill="1" applyBorder="1" applyAlignment="1">
      <alignment horizontal="center"/>
    </xf>
    <xf numFmtId="0" fontId="6" fillId="5" borderId="1" xfId="0" applyFont="1" applyFill="1" applyBorder="1" applyAlignment="1">
      <alignment horizontal="center"/>
    </xf>
    <xf numFmtId="0" fontId="6" fillId="6" borderId="1" xfId="0" applyFont="1" applyFill="1" applyBorder="1" applyAlignment="1">
      <alignment horizontal="center"/>
    </xf>
    <xf numFmtId="0" fontId="6" fillId="7" borderId="1" xfId="0" applyFont="1" applyFill="1" applyBorder="1" applyAlignment="1">
      <alignment horizontal="center"/>
    </xf>
    <xf numFmtId="0" fontId="6" fillId="8" borderId="1" xfId="0" applyFont="1" applyFill="1" applyBorder="1" applyAlignment="1">
      <alignment horizontal="center"/>
    </xf>
    <xf numFmtId="0" fontId="6" fillId="9" borderId="1" xfId="0" applyFont="1" applyFill="1" applyBorder="1" applyAlignment="1">
      <alignment wrapText="1"/>
    </xf>
    <xf numFmtId="0" fontId="6" fillId="3" borderId="1" xfId="0" applyFont="1" applyFill="1" applyBorder="1"/>
    <xf numFmtId="0" fontId="6" fillId="4" borderId="1" xfId="0" applyFont="1" applyFill="1" applyBorder="1"/>
    <xf numFmtId="0" fontId="6" fillId="5" borderId="1" xfId="0" applyFont="1" applyFill="1" applyBorder="1"/>
    <xf numFmtId="0" fontId="6" fillId="6" borderId="1" xfId="0" applyFont="1" applyFill="1" applyBorder="1"/>
    <xf numFmtId="0" fontId="6" fillId="7" borderId="1" xfId="0" applyFont="1" applyFill="1" applyBorder="1"/>
    <xf numFmtId="0" fontId="6" fillId="8" borderId="1" xfId="0" applyFont="1" applyFill="1" applyBorder="1"/>
    <xf numFmtId="0" fontId="6" fillId="0" borderId="0" xfId="0" applyFont="1" applyFill="1"/>
    <xf numFmtId="0" fontId="6" fillId="0" borderId="0" xfId="0" applyNumberFormat="1" applyFont="1" applyAlignment="1">
      <alignment wrapText="1"/>
    </xf>
    <xf numFmtId="0" fontId="6" fillId="0" borderId="0" xfId="0" applyNumberFormat="1" applyFont="1" applyAlignment="1">
      <alignment horizontal="center"/>
    </xf>
    <xf numFmtId="0" fontId="4" fillId="2" borderId="0" xfId="0" applyFont="1" applyFill="1" applyAlignment="1">
      <alignment horizontal="center" textRotation="180"/>
    </xf>
    <xf numFmtId="0" fontId="6" fillId="0" borderId="0" xfId="0" applyFont="1" applyAlignment="1">
      <alignment horizontal="center"/>
    </xf>
    <xf numFmtId="0" fontId="11" fillId="2" borderId="2" xfId="0" applyFont="1" applyFill="1" applyBorder="1" applyAlignment="1">
      <alignment horizontal="center"/>
    </xf>
    <xf numFmtId="0" fontId="11" fillId="2" borderId="3" xfId="0" applyFont="1" applyFill="1" applyBorder="1" applyAlignment="1">
      <alignment horizontal="center"/>
    </xf>
    <xf numFmtId="0" fontId="11" fillId="2" borderId="4" xfId="0" applyFont="1" applyFill="1" applyBorder="1" applyAlignment="1">
      <alignment horizontal="center"/>
    </xf>
    <xf numFmtId="0" fontId="11" fillId="2" borderId="5" xfId="0" applyFont="1" applyFill="1" applyBorder="1" applyAlignment="1">
      <alignment horizontal="center"/>
    </xf>
  </cellXfs>
  <cellStyles count="1">
    <cellStyle name="Normal" xfId="0" builtinId="0"/>
  </cellStyles>
  <dxfs count="95">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571500</xdr:colOff>
          <xdr:row>0</xdr:row>
          <xdr:rowOff>190500</xdr:rowOff>
        </xdr:from>
        <xdr:to>
          <xdr:col>0</xdr:col>
          <xdr:colOff>1647825</xdr:colOff>
          <xdr:row>0</xdr:row>
          <xdr:rowOff>552450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457200</xdr:colOff>
          <xdr:row>0</xdr:row>
          <xdr:rowOff>171450</xdr:rowOff>
        </xdr:from>
        <xdr:to>
          <xdr:col>1</xdr:col>
          <xdr:colOff>1533525</xdr:colOff>
          <xdr:row>0</xdr:row>
          <xdr:rowOff>533400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files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om Howard" refreshedDate="42063.572993865739" missingItemsLimit="0" createdVersion="3" refreshedVersion="5" minRefreshableVersion="3" recordCount="90">
  <cacheSource type="worksheet">
    <worksheetSource name="Table1"/>
  </cacheSource>
  <cacheFields count="17">
    <cacheField name="name" numFmtId="49">
      <sharedItems count="1">
        <s v="My Set"/>
      </sharedItems>
    </cacheField>
    <cacheField name="id" numFmtId="49">
      <sharedItems count="1">
        <s v="61747121-05d1-4216-8c22-06dcc958e7a3"/>
      </sharedItems>
    </cacheField>
    <cacheField name="gameId" numFmtId="49">
      <sharedItems/>
    </cacheField>
    <cacheField name="gameVersion" numFmtId="49">
      <sharedItems/>
    </cacheField>
    <cacheField name="version" numFmtId="49">
      <sharedItems count="1">
        <s v="1.0"/>
      </sharedItems>
    </cacheField>
    <cacheField name="id2" numFmtId="49">
      <sharedItems count="5">
        <s v="cd20023c-210a-498f-9183-65c461183c4c"/>
        <s v="ec979e5e-270f-41dd-9ea4-de77431a423a"/>
        <s v="13c9bc79-dee5-47a6-8649-ddff6a753bf6"/>
        <s v="bff0cd7a-8fe5-4d18-91e9-d3dbf885b01c"/>
        <s v="86a8cb61-a4d2-40f7-82a7-adfe5a835acd"/>
      </sharedItems>
    </cacheField>
    <cacheField name="name3" numFmtId="49">
      <sharedItems count="5">
        <s v="Aragorn"/>
        <s v="Protector of Lórien"/>
        <s v="Ungoliant's Spawn"/>
        <s v="Great Forest Web"/>
        <s v="The Necromancer's Tower - 1A"/>
      </sharedItems>
    </cacheField>
    <cacheField name="name4" numFmtId="49">
      <sharedItems containsBlank="1"/>
    </cacheField>
    <cacheField name="value" numFmtId="49">
      <sharedItems containsBlank="1" longText="1"/>
    </cacheField>
    <cacheField name="name5" numFmtId="49">
      <sharedItems containsBlank="1" count="2">
        <m/>
        <s v="The Necromancer's Tower - 1B"/>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0">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F1:G2"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compact="0" outline="0" showAll="0" defaultSubtotal="0"/>
    <pivotField compact="0" outline="0" showAll="0" defaultSubtotal="0"/>
    <pivotField compact="0" outline="0" showAll="0" defaultSubtotal="0"/>
    <pivotField name="Side B" axis="axisRow" compact="0" outline="0" showAll="0" defaultSubtotal="0">
      <items count="2">
        <item h="1" x="0"/>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1">
    <i>
      <x v="4"/>
      <x v="1"/>
    </i>
  </rowItems>
  <colItems count="1">
    <i/>
  </colItem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A1:D6"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name="Name" axis="axisRow" compact="0" outline="0" showAll="0" defaultSubtotal="0">
      <items count="5">
        <item x="0"/>
        <item x="2"/>
        <item x="3"/>
        <item x="4"/>
        <item x="1"/>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5">
    <i>
      <x/>
      <x/>
      <x/>
      <x/>
    </i>
    <i r="1">
      <x v="1"/>
      <x/>
      <x v="4"/>
    </i>
    <i r="1">
      <x v="2"/>
      <x/>
      <x v="1"/>
    </i>
    <i r="1">
      <x v="3"/>
      <x/>
      <x v="2"/>
    </i>
    <i r="1">
      <x v="4"/>
      <x/>
      <x v="3"/>
    </i>
  </rowItems>
  <colItems count="1">
    <i/>
  </colItem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I1:K2" firstHeaderRow="1" firstDataRow="1" firstDataCol="3"/>
  <pivotFields count="17">
    <pivotField name="Set name" axis="axisRow" compact="0" outline="0" showAll="0" defaultSubtotal="0">
      <items count="1">
        <item x="0"/>
      </items>
    </pivotField>
    <pivotField name="Set GUID" axis="axisRow" compact="0" outline="0" showAll="0" defaultSubtotal="0">
      <items count="1">
        <item x="0"/>
      </items>
    </pivotField>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3">
    <field x="1"/>
    <field x="0"/>
    <field x="4"/>
  </rowFields>
  <rowItems count="1">
    <i>
      <x/>
      <x/>
      <x/>
    </i>
  </rowItems>
  <colItems count="1">
    <i/>
  </colItems>
  <pivotTableStyleInfo name="PivotStyleLight16" showRowHeaders="1" showColHeaders="1" showRowStripes="0" showColStripes="0" showLastColumn="1"/>
</pivotTableDefinition>
</file>

<file path=xl/tables/table1.xml><?xml version="1.0" encoding="utf-8"?>
<table xmlns="http://schemas.openxmlformats.org/spreadsheetml/2006/main" id="1" name="Table1" displayName="Table1" ref="A1:Q91" tableType="xml" totalsRowShown="0" connectionId="1">
  <autoFilter ref="A1:Q91"/>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94">
      <calculatedColumnFormula>Table1[[#This Row],[id2]]&amp;Table1[[#This Row],[name4]]</calculatedColumnFormula>
    </tableColumn>
    <tableColumn id="15" uniqueName="15" name="value9" dataDxfId="93">
      <calculatedColumnFormula>IF(Table1[[#This Row],[value]]="","",Table1[[#This Row],[value]])</calculatedColumnFormula>
    </tableColumn>
    <tableColumn id="16" uniqueName="16" name="value10" dataDxfId="92">
      <calculatedColumnFormula>Table1[[#This Row],[id2]]&amp;Table1[[#This Row],[name6]]</calculatedColumnFormula>
    </tableColumn>
    <tableColumn id="17" uniqueName="17" name="value11" dataDxfId="91">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91"/>
  <sheetViews>
    <sheetView workbookViewId="0">
      <selection activeCell="A2" sqref="A2"/>
    </sheetView>
  </sheetViews>
  <sheetFormatPr defaultRowHeight="15" x14ac:dyDescent="0.25"/>
  <cols>
    <col min="1" max="1" width="8.28515625" customWidth="1"/>
    <col min="2" max="2" width="36.7109375" bestFit="1" customWidth="1"/>
    <col min="3" max="3" width="36.5703125" bestFit="1" customWidth="1"/>
    <col min="4" max="4" width="15" bestFit="1" customWidth="1"/>
    <col min="5" max="5" width="9.85546875" bestFit="1" customWidth="1"/>
    <col min="6" max="6" width="37.42578125" bestFit="1" customWidth="1"/>
    <col min="7" max="7" width="28.28515625" bestFit="1" customWidth="1"/>
    <col min="8" max="8" width="16.42578125" bestFit="1" customWidth="1"/>
    <col min="9" max="9" width="81.140625" customWidth="1"/>
    <col min="10" max="10" width="28.140625" bestFit="1" customWidth="1"/>
    <col min="11" max="11" width="7.28515625" bestFit="1" customWidth="1"/>
    <col min="12" max="12" width="12.28515625" customWidth="1"/>
    <col min="13" max="13" width="9.140625" customWidth="1"/>
    <col min="14" max="14" width="45.85546875" customWidth="1"/>
    <col min="15" max="15" width="81.140625" customWidth="1"/>
    <col min="16" max="16" width="36.28515625" customWidth="1"/>
    <col min="17" max="17" width="10.140625" customWidth="1"/>
  </cols>
  <sheetData>
    <row r="1" spans="1:17" x14ac:dyDescent="0.25">
      <c r="A1" t="s">
        <v>0</v>
      </c>
      <c r="B1" t="s">
        <v>1</v>
      </c>
      <c r="C1" t="s">
        <v>2</v>
      </c>
      <c r="D1" t="s">
        <v>3</v>
      </c>
      <c r="E1" t="s">
        <v>4</v>
      </c>
      <c r="F1" t="s">
        <v>7</v>
      </c>
      <c r="G1" t="s">
        <v>8</v>
      </c>
      <c r="H1" t="s">
        <v>9</v>
      </c>
      <c r="I1" t="s">
        <v>5</v>
      </c>
      <c r="J1" t="s">
        <v>10</v>
      </c>
      <c r="K1" t="s">
        <v>6</v>
      </c>
      <c r="L1" t="s">
        <v>11</v>
      </c>
      <c r="M1" t="s">
        <v>12</v>
      </c>
      <c r="N1" t="s">
        <v>51</v>
      </c>
      <c r="O1" t="s">
        <v>52</v>
      </c>
      <c r="P1" t="s">
        <v>53</v>
      </c>
      <c r="Q1" t="s">
        <v>54</v>
      </c>
    </row>
    <row r="2" spans="1:17" x14ac:dyDescent="0.25">
      <c r="A2" s="1" t="s">
        <v>115</v>
      </c>
      <c r="B2" s="1" t="s">
        <v>80</v>
      </c>
      <c r="C2" s="1" t="s">
        <v>13</v>
      </c>
      <c r="D2" s="1" t="s">
        <v>56</v>
      </c>
      <c r="E2" s="1" t="s">
        <v>79</v>
      </c>
      <c r="F2" s="1" t="s">
        <v>81</v>
      </c>
      <c r="G2" s="1" t="s">
        <v>86</v>
      </c>
      <c r="H2" s="1" t="s">
        <v>31</v>
      </c>
      <c r="I2" s="1" t="s">
        <v>38</v>
      </c>
      <c r="J2" s="1"/>
      <c r="K2" s="1"/>
      <c r="L2" s="1"/>
      <c r="M2" s="1"/>
      <c r="N2" s="4" t="str">
        <f>Table1[[#This Row],[id2]]&amp;Table1[[#This Row],[name4]]</f>
        <v>cd20023c-210a-498f-9183-65c461183c4cQuantity</v>
      </c>
      <c r="O2" s="4" t="str">
        <f>IF(Table1[[#This Row],[value]]="","",Table1[[#This Row],[value]])</f>
        <v>1</v>
      </c>
      <c r="P2" s="4" t="str">
        <f>Table1[[#This Row],[id2]]&amp;Table1[[#This Row],[name6]]</f>
        <v>cd20023c-210a-498f-9183-65c461183c4c</v>
      </c>
      <c r="Q2" s="4" t="str">
        <f>IF(Table1[[#This Row],[value7]]="","",Table1[[#This Row],[value7]])</f>
        <v/>
      </c>
    </row>
    <row r="3" spans="1:17" x14ac:dyDescent="0.25">
      <c r="A3" s="1" t="s">
        <v>115</v>
      </c>
      <c r="B3" s="1" t="s">
        <v>80</v>
      </c>
      <c r="C3" s="1" t="s">
        <v>13</v>
      </c>
      <c r="D3" s="1" t="s">
        <v>56</v>
      </c>
      <c r="E3" s="1" t="s">
        <v>79</v>
      </c>
      <c r="F3" s="1" t="s">
        <v>81</v>
      </c>
      <c r="G3" s="1" t="s">
        <v>86</v>
      </c>
      <c r="H3" s="1" t="s">
        <v>18</v>
      </c>
      <c r="I3" s="1" t="s">
        <v>35</v>
      </c>
      <c r="J3" s="1"/>
      <c r="K3" s="1"/>
      <c r="L3" s="1"/>
      <c r="M3" s="1"/>
      <c r="N3" s="4" t="str">
        <f>Table1[[#This Row],[id2]]&amp;Table1[[#This Row],[name4]]</f>
        <v>cd20023c-210a-498f-9183-65c461183c4cUnique</v>
      </c>
      <c r="O3" s="4" t="str">
        <f>IF(Table1[[#This Row],[value]]="","",Table1[[#This Row],[value]])</f>
        <v>‰</v>
      </c>
      <c r="P3" s="4" t="str">
        <f>Table1[[#This Row],[id2]]&amp;Table1[[#This Row],[name6]]</f>
        <v>cd20023c-210a-498f-9183-65c461183c4c</v>
      </c>
      <c r="Q3" s="4" t="str">
        <f>IF(Table1[[#This Row],[value7]]="","",Table1[[#This Row],[value7]])</f>
        <v/>
      </c>
    </row>
    <row r="4" spans="1:17" x14ac:dyDescent="0.25">
      <c r="A4" s="1" t="s">
        <v>115</v>
      </c>
      <c r="B4" s="1" t="s">
        <v>80</v>
      </c>
      <c r="C4" s="1" t="s">
        <v>13</v>
      </c>
      <c r="D4" s="1" t="s">
        <v>56</v>
      </c>
      <c r="E4" s="1" t="s">
        <v>79</v>
      </c>
      <c r="F4" s="1" t="s">
        <v>81</v>
      </c>
      <c r="G4" s="1" t="s">
        <v>86</v>
      </c>
      <c r="H4" s="1" t="s">
        <v>14</v>
      </c>
      <c r="I4" s="1" t="s">
        <v>33</v>
      </c>
      <c r="J4" s="1"/>
      <c r="K4" s="1"/>
      <c r="L4" s="1"/>
      <c r="M4" s="1"/>
      <c r="N4" s="4" t="str">
        <f>Table1[[#This Row],[id2]]&amp;Table1[[#This Row],[name4]]</f>
        <v>cd20023c-210a-498f-9183-65c461183c4cType</v>
      </c>
      <c r="O4" s="4" t="str">
        <f>IF(Table1[[#This Row],[value]]="","",Table1[[#This Row],[value]])</f>
        <v>Hero</v>
      </c>
      <c r="P4" s="4" t="str">
        <f>Table1[[#This Row],[id2]]&amp;Table1[[#This Row],[name6]]</f>
        <v>cd20023c-210a-498f-9183-65c461183c4c</v>
      </c>
      <c r="Q4" s="4" t="str">
        <f>IF(Table1[[#This Row],[value7]]="","",Table1[[#This Row],[value7]])</f>
        <v/>
      </c>
    </row>
    <row r="5" spans="1:17" x14ac:dyDescent="0.25">
      <c r="A5" s="1" t="s">
        <v>115</v>
      </c>
      <c r="B5" s="1" t="s">
        <v>80</v>
      </c>
      <c r="C5" s="1" t="s">
        <v>13</v>
      </c>
      <c r="D5" s="1" t="s">
        <v>56</v>
      </c>
      <c r="E5" s="1" t="s">
        <v>79</v>
      </c>
      <c r="F5" s="1" t="s">
        <v>81</v>
      </c>
      <c r="G5" s="1" t="s">
        <v>86</v>
      </c>
      <c r="H5" s="1" t="s">
        <v>15</v>
      </c>
      <c r="I5" s="1" t="s">
        <v>34</v>
      </c>
      <c r="J5" s="1"/>
      <c r="K5" s="1"/>
      <c r="L5" s="1"/>
      <c r="M5" s="1"/>
      <c r="N5" s="4" t="str">
        <f>Table1[[#This Row],[id2]]&amp;Table1[[#This Row],[name4]]</f>
        <v>cd20023c-210a-498f-9183-65c461183c4cSphere</v>
      </c>
      <c r="O5" s="4" t="str">
        <f>IF(Table1[[#This Row],[value]]="","",Table1[[#This Row],[value]])</f>
        <v>Leadership</v>
      </c>
      <c r="P5" s="4" t="str">
        <f>Table1[[#This Row],[id2]]&amp;Table1[[#This Row],[name6]]</f>
        <v>cd20023c-210a-498f-9183-65c461183c4c</v>
      </c>
      <c r="Q5" s="4" t="str">
        <f>IF(Table1[[#This Row],[value7]]="","",Table1[[#This Row],[value7]])</f>
        <v/>
      </c>
    </row>
    <row r="6" spans="1:17" x14ac:dyDescent="0.25">
      <c r="A6" s="1" t="s">
        <v>115</v>
      </c>
      <c r="B6" s="1" t="s">
        <v>80</v>
      </c>
      <c r="C6" s="1" t="s">
        <v>13</v>
      </c>
      <c r="D6" s="1" t="s">
        <v>56</v>
      </c>
      <c r="E6" s="1" t="s">
        <v>79</v>
      </c>
      <c r="F6" s="1" t="s">
        <v>81</v>
      </c>
      <c r="G6" s="1" t="s">
        <v>86</v>
      </c>
      <c r="H6" s="1" t="s">
        <v>24</v>
      </c>
      <c r="I6" s="1" t="s">
        <v>91</v>
      </c>
      <c r="J6" s="1"/>
      <c r="K6" s="1"/>
      <c r="L6" s="1"/>
      <c r="M6" s="1"/>
      <c r="N6" s="4" t="str">
        <f>Table1[[#This Row],[id2]]&amp;Table1[[#This Row],[name4]]</f>
        <v>cd20023c-210a-498f-9183-65c461183c4cTraits</v>
      </c>
      <c r="O6" s="4" t="str">
        <f>IF(Table1[[#This Row],[value]]="","",Table1[[#This Row],[value]])</f>
        <v>Dunedain. Noble. Ranger.</v>
      </c>
      <c r="P6" s="4" t="str">
        <f>Table1[[#This Row],[id2]]&amp;Table1[[#This Row],[name6]]</f>
        <v>cd20023c-210a-498f-9183-65c461183c4c</v>
      </c>
      <c r="Q6" s="4" t="str">
        <f>IF(Table1[[#This Row],[value7]]="","",Table1[[#This Row],[value7]])</f>
        <v/>
      </c>
    </row>
    <row r="7" spans="1:17" x14ac:dyDescent="0.25">
      <c r="A7" s="1" t="s">
        <v>115</v>
      </c>
      <c r="B7" s="1" t="s">
        <v>80</v>
      </c>
      <c r="C7" s="1" t="s">
        <v>13</v>
      </c>
      <c r="D7" s="1" t="s">
        <v>56</v>
      </c>
      <c r="E7" s="1" t="s">
        <v>79</v>
      </c>
      <c r="F7" s="1" t="s">
        <v>81</v>
      </c>
      <c r="G7" s="1" t="s">
        <v>86</v>
      </c>
      <c r="H7" s="1" t="s">
        <v>27</v>
      </c>
      <c r="I7" s="1" t="s">
        <v>92</v>
      </c>
      <c r="J7" s="1"/>
      <c r="K7" s="1"/>
      <c r="L7" s="1"/>
      <c r="M7" s="1"/>
      <c r="N7" s="4" t="str">
        <f>Table1[[#This Row],[id2]]&amp;Table1[[#This Row],[name4]]</f>
        <v>cd20023c-210a-498f-9183-65c461183c4cKeywords</v>
      </c>
      <c r="O7" s="4" t="str">
        <f>IF(Table1[[#This Row],[value]]="","",Table1[[#This Row],[value]])</f>
        <v>Sentinel.</v>
      </c>
      <c r="P7" s="4" t="str">
        <f>Table1[[#This Row],[id2]]&amp;Table1[[#This Row],[name6]]</f>
        <v>cd20023c-210a-498f-9183-65c461183c4c</v>
      </c>
      <c r="Q7" s="4" t="str">
        <f>IF(Table1[[#This Row],[value7]]="","",Table1[[#This Row],[value7]])</f>
        <v/>
      </c>
    </row>
    <row r="8" spans="1:17" x14ac:dyDescent="0.25">
      <c r="A8" s="1" t="s">
        <v>115</v>
      </c>
      <c r="B8" s="1" t="s">
        <v>80</v>
      </c>
      <c r="C8" s="1" t="s">
        <v>13</v>
      </c>
      <c r="D8" s="1" t="s">
        <v>56</v>
      </c>
      <c r="E8" s="1" t="s">
        <v>79</v>
      </c>
      <c r="F8" s="1" t="s">
        <v>81</v>
      </c>
      <c r="G8" s="1" t="s">
        <v>86</v>
      </c>
      <c r="H8" s="1" t="s">
        <v>16</v>
      </c>
      <c r="I8" s="1" t="s">
        <v>93</v>
      </c>
      <c r="J8" s="1"/>
      <c r="K8" s="1"/>
      <c r="L8" s="1"/>
      <c r="M8" s="1"/>
      <c r="N8" s="4" t="str">
        <f>Table1[[#This Row],[id2]]&amp;Table1[[#This Row],[name4]]</f>
        <v>cd20023c-210a-498f-9183-65c461183c4cCost</v>
      </c>
      <c r="O8" s="4" t="str">
        <f>IF(Table1[[#This Row],[value]]="","",Table1[[#This Row],[value]])</f>
        <v>12</v>
      </c>
      <c r="P8" s="4" t="str">
        <f>Table1[[#This Row],[id2]]&amp;Table1[[#This Row],[name6]]</f>
        <v>cd20023c-210a-498f-9183-65c461183c4c</v>
      </c>
      <c r="Q8" s="4" t="str">
        <f>IF(Table1[[#This Row],[value7]]="","",Table1[[#This Row],[value7]])</f>
        <v/>
      </c>
    </row>
    <row r="9" spans="1:17" x14ac:dyDescent="0.25">
      <c r="A9" s="1" t="s">
        <v>115</v>
      </c>
      <c r="B9" s="1" t="s">
        <v>80</v>
      </c>
      <c r="C9" s="1" t="s">
        <v>13</v>
      </c>
      <c r="D9" s="1" t="s">
        <v>56</v>
      </c>
      <c r="E9" s="1" t="s">
        <v>79</v>
      </c>
      <c r="F9" s="1" t="s">
        <v>81</v>
      </c>
      <c r="G9" s="1" t="s">
        <v>86</v>
      </c>
      <c r="H9" s="1" t="s">
        <v>22</v>
      </c>
      <c r="I9" s="1" t="s">
        <v>37</v>
      </c>
      <c r="J9" s="1"/>
      <c r="K9" s="1"/>
      <c r="L9" s="1"/>
      <c r="M9" s="1"/>
      <c r="N9" s="4" t="str">
        <f>Table1[[#This Row],[id2]]&amp;Table1[[#This Row],[name4]]</f>
        <v>cd20023c-210a-498f-9183-65c461183c4cWillpower</v>
      </c>
      <c r="O9" s="4" t="str">
        <f>IF(Table1[[#This Row],[value]]="","",Table1[[#This Row],[value]])</f>
        <v>2</v>
      </c>
      <c r="P9" s="4" t="str">
        <f>Table1[[#This Row],[id2]]&amp;Table1[[#This Row],[name6]]</f>
        <v>cd20023c-210a-498f-9183-65c461183c4c</v>
      </c>
      <c r="Q9" s="4" t="str">
        <f>IF(Table1[[#This Row],[value7]]="","",Table1[[#This Row],[value7]])</f>
        <v/>
      </c>
    </row>
    <row r="10" spans="1:17" x14ac:dyDescent="0.25">
      <c r="A10" s="1" t="s">
        <v>115</v>
      </c>
      <c r="B10" s="1" t="s">
        <v>80</v>
      </c>
      <c r="C10" s="1" t="s">
        <v>13</v>
      </c>
      <c r="D10" s="1" t="s">
        <v>56</v>
      </c>
      <c r="E10" s="1" t="s">
        <v>79</v>
      </c>
      <c r="F10" s="1" t="s">
        <v>81</v>
      </c>
      <c r="G10" s="1" t="s">
        <v>86</v>
      </c>
      <c r="H10" s="1" t="s">
        <v>20</v>
      </c>
      <c r="I10" s="1" t="s">
        <v>36</v>
      </c>
      <c r="J10" s="1"/>
      <c r="K10" s="1"/>
      <c r="L10" s="1"/>
      <c r="M10" s="1"/>
      <c r="N10" s="4" t="str">
        <f>Table1[[#This Row],[id2]]&amp;Table1[[#This Row],[name4]]</f>
        <v>cd20023c-210a-498f-9183-65c461183c4cAttack</v>
      </c>
      <c r="O10" s="4" t="str">
        <f>IF(Table1[[#This Row],[value]]="","",Table1[[#This Row],[value]])</f>
        <v>3</v>
      </c>
      <c r="P10" s="4" t="str">
        <f>Table1[[#This Row],[id2]]&amp;Table1[[#This Row],[name6]]</f>
        <v>cd20023c-210a-498f-9183-65c461183c4c</v>
      </c>
      <c r="Q10" s="4" t="str">
        <f>IF(Table1[[#This Row],[value7]]="","",Table1[[#This Row],[value7]])</f>
        <v/>
      </c>
    </row>
    <row r="11" spans="1:17" x14ac:dyDescent="0.25">
      <c r="A11" s="1" t="s">
        <v>115</v>
      </c>
      <c r="B11" s="1" t="s">
        <v>80</v>
      </c>
      <c r="C11" s="1" t="s">
        <v>13</v>
      </c>
      <c r="D11" s="1" t="s">
        <v>56</v>
      </c>
      <c r="E11" s="1" t="s">
        <v>79</v>
      </c>
      <c r="F11" s="1" t="s">
        <v>81</v>
      </c>
      <c r="G11" s="1" t="s">
        <v>86</v>
      </c>
      <c r="H11" s="1" t="s">
        <v>21</v>
      </c>
      <c r="I11" s="1" t="s">
        <v>37</v>
      </c>
      <c r="J11" s="1"/>
      <c r="K11" s="1"/>
      <c r="L11" s="1"/>
      <c r="M11" s="1"/>
      <c r="N11" s="4" t="str">
        <f>Table1[[#This Row],[id2]]&amp;Table1[[#This Row],[name4]]</f>
        <v>cd20023c-210a-498f-9183-65c461183c4cDefense</v>
      </c>
      <c r="O11" s="4" t="str">
        <f>IF(Table1[[#This Row],[value]]="","",Table1[[#This Row],[value]])</f>
        <v>2</v>
      </c>
      <c r="P11" s="4" t="str">
        <f>Table1[[#This Row],[id2]]&amp;Table1[[#This Row],[name6]]</f>
        <v>cd20023c-210a-498f-9183-65c461183c4c</v>
      </c>
      <c r="Q11" s="4" t="str">
        <f>IF(Table1[[#This Row],[value7]]="","",Table1[[#This Row],[value7]])</f>
        <v/>
      </c>
    </row>
    <row r="12" spans="1:17" x14ac:dyDescent="0.25">
      <c r="A12" s="1" t="s">
        <v>115</v>
      </c>
      <c r="B12" s="1" t="s">
        <v>80</v>
      </c>
      <c r="C12" s="1" t="s">
        <v>13</v>
      </c>
      <c r="D12" s="1" t="s">
        <v>56</v>
      </c>
      <c r="E12" s="1" t="s">
        <v>79</v>
      </c>
      <c r="F12" s="1" t="s">
        <v>81</v>
      </c>
      <c r="G12" s="1" t="s">
        <v>86</v>
      </c>
      <c r="H12" s="1" t="s">
        <v>23</v>
      </c>
      <c r="I12" s="1" t="s">
        <v>40</v>
      </c>
      <c r="J12" s="1"/>
      <c r="K12" s="1"/>
      <c r="L12" s="1"/>
      <c r="M12" s="1"/>
      <c r="N12" s="4" t="str">
        <f>Table1[[#This Row],[id2]]&amp;Table1[[#This Row],[name4]]</f>
        <v>cd20023c-210a-498f-9183-65c461183c4cHealth</v>
      </c>
      <c r="O12" s="4" t="str">
        <f>IF(Table1[[#This Row],[value]]="","",Table1[[#This Row],[value]])</f>
        <v>5</v>
      </c>
      <c r="P12" s="4" t="str">
        <f>Table1[[#This Row],[id2]]&amp;Table1[[#This Row],[name6]]</f>
        <v>cd20023c-210a-498f-9183-65c461183c4c</v>
      </c>
      <c r="Q12" s="4" t="str">
        <f>IF(Table1[[#This Row],[value7]]="","",Table1[[#This Row],[value7]])</f>
        <v/>
      </c>
    </row>
    <row r="13" spans="1:17" ht="90" x14ac:dyDescent="0.25">
      <c r="A13" s="1" t="s">
        <v>115</v>
      </c>
      <c r="B13" s="1" t="s">
        <v>80</v>
      </c>
      <c r="C13" s="1" t="s">
        <v>13</v>
      </c>
      <c r="D13" s="1" t="s">
        <v>56</v>
      </c>
      <c r="E13" s="1" t="s">
        <v>79</v>
      </c>
      <c r="F13" s="1" t="s">
        <v>81</v>
      </c>
      <c r="G13" s="1" t="s">
        <v>86</v>
      </c>
      <c r="H13" s="1" t="s">
        <v>25</v>
      </c>
      <c r="I13" s="2" t="s">
        <v>94</v>
      </c>
      <c r="J13" s="1"/>
      <c r="K13" s="1"/>
      <c r="L13" s="1"/>
      <c r="M13" s="1"/>
      <c r="N13" s="4" t="str">
        <f>Table1[[#This Row],[id2]]&amp;Table1[[#This Row],[name4]]</f>
        <v>cd20023c-210a-498f-9183-65c461183c4cText</v>
      </c>
      <c r="O13" s="4" t="str">
        <f>IF(Table1[[#This Row],[value]]="","",Table1[[#This Row],[value]])</f>
        <v>Response: After Aragorn commits to a quest, spend 1 resource from his resource pool to ready him. 
You can now use "Quotes" &amp; Ampersands!
hit "ALT+Enter" for 
Newlines!</v>
      </c>
      <c r="P13" s="4" t="str">
        <f>Table1[[#This Row],[id2]]&amp;Table1[[#This Row],[name6]]</f>
        <v>cd20023c-210a-498f-9183-65c461183c4c</v>
      </c>
      <c r="Q13" s="4" t="str">
        <f>IF(Table1[[#This Row],[value7]]="","",Table1[[#This Row],[value7]])</f>
        <v/>
      </c>
    </row>
    <row r="14" spans="1:17" x14ac:dyDescent="0.25">
      <c r="A14" s="1" t="s">
        <v>115</v>
      </c>
      <c r="B14" s="1" t="s">
        <v>80</v>
      </c>
      <c r="C14" s="1" t="s">
        <v>13</v>
      </c>
      <c r="D14" s="1" t="s">
        <v>56</v>
      </c>
      <c r="E14" s="1" t="s">
        <v>79</v>
      </c>
      <c r="F14" s="1" t="s">
        <v>82</v>
      </c>
      <c r="G14" s="1" t="s">
        <v>87</v>
      </c>
      <c r="H14" s="1" t="s">
        <v>31</v>
      </c>
      <c r="I14" s="2" t="s">
        <v>37</v>
      </c>
      <c r="J14" s="1"/>
      <c r="K14" s="1"/>
      <c r="L14" s="1"/>
      <c r="M14" s="1"/>
      <c r="N14" s="4" t="str">
        <f>Table1[[#This Row],[id2]]&amp;Table1[[#This Row],[name4]]</f>
        <v>ec979e5e-270f-41dd-9ea4-de77431a423aQuantity</v>
      </c>
      <c r="O14" s="4" t="str">
        <f>IF(Table1[[#This Row],[value]]="","",Table1[[#This Row],[value]])</f>
        <v>2</v>
      </c>
      <c r="P14" s="4" t="str">
        <f>Table1[[#This Row],[id2]]&amp;Table1[[#This Row],[name6]]</f>
        <v>ec979e5e-270f-41dd-9ea4-de77431a423a</v>
      </c>
      <c r="Q14" s="4" t="str">
        <f>IF(Table1[[#This Row],[value7]]="","",Table1[[#This Row],[value7]])</f>
        <v/>
      </c>
    </row>
    <row r="15" spans="1:17" x14ac:dyDescent="0.25">
      <c r="A15" s="1" t="s">
        <v>115</v>
      </c>
      <c r="B15" s="1" t="s">
        <v>80</v>
      </c>
      <c r="C15" s="1" t="s">
        <v>13</v>
      </c>
      <c r="D15" s="1" t="s">
        <v>56</v>
      </c>
      <c r="E15" s="1" t="s">
        <v>79</v>
      </c>
      <c r="F15" s="1" t="s">
        <v>82</v>
      </c>
      <c r="G15" s="1" t="s">
        <v>87</v>
      </c>
      <c r="H15" s="1" t="s">
        <v>14</v>
      </c>
      <c r="I15" s="2" t="s">
        <v>41</v>
      </c>
      <c r="J15" s="1"/>
      <c r="K15" s="1"/>
      <c r="L15" s="1"/>
      <c r="M15" s="1"/>
      <c r="N15" s="4" t="str">
        <f>Table1[[#This Row],[id2]]&amp;Table1[[#This Row],[name4]]</f>
        <v>ec979e5e-270f-41dd-9ea4-de77431a423aType</v>
      </c>
      <c r="O15" s="4" t="str">
        <f>IF(Table1[[#This Row],[value]]="","",Table1[[#This Row],[value]])</f>
        <v>Attachment</v>
      </c>
      <c r="P15" s="4" t="str">
        <f>Table1[[#This Row],[id2]]&amp;Table1[[#This Row],[name6]]</f>
        <v>ec979e5e-270f-41dd-9ea4-de77431a423a</v>
      </c>
      <c r="Q15" s="4" t="str">
        <f>IF(Table1[[#This Row],[value7]]="","",Table1[[#This Row],[value7]])</f>
        <v/>
      </c>
    </row>
    <row r="16" spans="1:17" x14ac:dyDescent="0.25">
      <c r="A16" s="1" t="s">
        <v>115</v>
      </c>
      <c r="B16" s="1" t="s">
        <v>80</v>
      </c>
      <c r="C16" s="1" t="s">
        <v>13</v>
      </c>
      <c r="D16" s="1" t="s">
        <v>56</v>
      </c>
      <c r="E16" s="1" t="s">
        <v>79</v>
      </c>
      <c r="F16" s="1" t="s">
        <v>82</v>
      </c>
      <c r="G16" s="1" t="s">
        <v>87</v>
      </c>
      <c r="H16" s="1" t="s">
        <v>15</v>
      </c>
      <c r="I16" s="1" t="s">
        <v>39</v>
      </c>
      <c r="J16" s="1"/>
      <c r="K16" s="1"/>
      <c r="L16" s="1"/>
      <c r="M16" s="1"/>
      <c r="N16" s="4" t="str">
        <f>Table1[[#This Row],[id2]]&amp;Table1[[#This Row],[name4]]</f>
        <v>ec979e5e-270f-41dd-9ea4-de77431a423aSphere</v>
      </c>
      <c r="O16" s="4" t="str">
        <f>IF(Table1[[#This Row],[value]]="","",Table1[[#This Row],[value]])</f>
        <v>Lore</v>
      </c>
      <c r="P16" s="4" t="str">
        <f>Table1[[#This Row],[id2]]&amp;Table1[[#This Row],[name6]]</f>
        <v>ec979e5e-270f-41dd-9ea4-de77431a423a</v>
      </c>
      <c r="Q16" s="4" t="str">
        <f>IF(Table1[[#This Row],[value7]]="","",Table1[[#This Row],[value7]])</f>
        <v/>
      </c>
    </row>
    <row r="17" spans="1:17" x14ac:dyDescent="0.25">
      <c r="A17" s="1" t="s">
        <v>115</v>
      </c>
      <c r="B17" s="1" t="s">
        <v>80</v>
      </c>
      <c r="C17" s="1" t="s">
        <v>13</v>
      </c>
      <c r="D17" s="1" t="s">
        <v>56</v>
      </c>
      <c r="E17" s="1" t="s">
        <v>79</v>
      </c>
      <c r="F17" s="1" t="s">
        <v>82</v>
      </c>
      <c r="G17" s="1" t="s">
        <v>87</v>
      </c>
      <c r="H17" s="1" t="s">
        <v>24</v>
      </c>
      <c r="I17" s="1" t="s">
        <v>95</v>
      </c>
      <c r="J17" s="1"/>
      <c r="K17" s="1"/>
      <c r="L17" s="1"/>
      <c r="M17" s="1"/>
      <c r="N17" s="4" t="str">
        <f>Table1[[#This Row],[id2]]&amp;Table1[[#This Row],[name4]]</f>
        <v>ec979e5e-270f-41dd-9ea4-de77431a423aTraits</v>
      </c>
      <c r="O17" s="4" t="str">
        <f>IF(Table1[[#This Row],[value]]="","",Table1[[#This Row],[value]])</f>
        <v>Title.</v>
      </c>
      <c r="P17" s="4" t="str">
        <f>Table1[[#This Row],[id2]]&amp;Table1[[#This Row],[name6]]</f>
        <v>ec979e5e-270f-41dd-9ea4-de77431a423a</v>
      </c>
      <c r="Q17" s="4" t="str">
        <f>IF(Table1[[#This Row],[value7]]="","",Table1[[#This Row],[value7]])</f>
        <v/>
      </c>
    </row>
    <row r="18" spans="1:17" x14ac:dyDescent="0.25">
      <c r="A18" s="1" t="s">
        <v>115</v>
      </c>
      <c r="B18" s="1" t="s">
        <v>80</v>
      </c>
      <c r="C18" s="1" t="s">
        <v>13</v>
      </c>
      <c r="D18" s="1" t="s">
        <v>56</v>
      </c>
      <c r="E18" s="1" t="s">
        <v>79</v>
      </c>
      <c r="F18" s="1" t="s">
        <v>82</v>
      </c>
      <c r="G18" s="1" t="s">
        <v>87</v>
      </c>
      <c r="H18" s="1" t="s">
        <v>27</v>
      </c>
      <c r="I18" s="1" t="s">
        <v>96</v>
      </c>
      <c r="J18" s="1"/>
      <c r="K18" s="1"/>
      <c r="L18" s="1"/>
      <c r="M18" s="1"/>
      <c r="N18" s="4" t="str">
        <f>Table1[[#This Row],[id2]]&amp;Table1[[#This Row],[name4]]</f>
        <v>ec979e5e-270f-41dd-9ea4-de77431a423aKeywords</v>
      </c>
      <c r="O18" s="4" t="str">
        <f>IF(Table1[[#This Row],[value]]="","",Table1[[#This Row],[value]])</f>
        <v>Attach to a hero.</v>
      </c>
      <c r="P18" s="4" t="str">
        <f>Table1[[#This Row],[id2]]&amp;Table1[[#This Row],[name6]]</f>
        <v>ec979e5e-270f-41dd-9ea4-de77431a423a</v>
      </c>
      <c r="Q18" s="4" t="str">
        <f>IF(Table1[[#This Row],[value7]]="","",Table1[[#This Row],[value7]])</f>
        <v/>
      </c>
    </row>
    <row r="19" spans="1:17" x14ac:dyDescent="0.25">
      <c r="A19" s="1" t="s">
        <v>115</v>
      </c>
      <c r="B19" s="1" t="s">
        <v>80</v>
      </c>
      <c r="C19" s="1" t="s">
        <v>13</v>
      </c>
      <c r="D19" s="1" t="s">
        <v>56</v>
      </c>
      <c r="E19" s="1" t="s">
        <v>79</v>
      </c>
      <c r="F19" s="1" t="s">
        <v>82</v>
      </c>
      <c r="G19" s="1" t="s">
        <v>87</v>
      </c>
      <c r="H19" s="1" t="s">
        <v>16</v>
      </c>
      <c r="I19" s="1" t="s">
        <v>38</v>
      </c>
      <c r="J19" s="1"/>
      <c r="K19" s="1"/>
      <c r="L19" s="1"/>
      <c r="M19" s="1"/>
      <c r="N19" s="4" t="str">
        <f>Table1[[#This Row],[id2]]&amp;Table1[[#This Row],[name4]]</f>
        <v>ec979e5e-270f-41dd-9ea4-de77431a423aCost</v>
      </c>
      <c r="O19" s="4" t="str">
        <f>IF(Table1[[#This Row],[value]]="","",Table1[[#This Row],[value]])</f>
        <v>1</v>
      </c>
      <c r="P19" s="4" t="str">
        <f>Table1[[#This Row],[id2]]&amp;Table1[[#This Row],[name6]]</f>
        <v>ec979e5e-270f-41dd-9ea4-de77431a423a</v>
      </c>
      <c r="Q19" s="4" t="str">
        <f>IF(Table1[[#This Row],[value7]]="","",Table1[[#This Row],[value7]])</f>
        <v/>
      </c>
    </row>
    <row r="20" spans="1:17" x14ac:dyDescent="0.25">
      <c r="A20" s="1" t="s">
        <v>115</v>
      </c>
      <c r="B20" s="1" t="s">
        <v>80</v>
      </c>
      <c r="C20" s="1" t="s">
        <v>13</v>
      </c>
      <c r="D20" s="1" t="s">
        <v>56</v>
      </c>
      <c r="E20" s="1" t="s">
        <v>79</v>
      </c>
      <c r="F20" s="1" t="s">
        <v>82</v>
      </c>
      <c r="G20" s="1" t="s">
        <v>87</v>
      </c>
      <c r="H20" s="1" t="s">
        <v>25</v>
      </c>
      <c r="I20" s="1" t="s">
        <v>97</v>
      </c>
      <c r="J20" s="1"/>
      <c r="K20" s="1"/>
      <c r="L20" s="1"/>
      <c r="M20" s="1"/>
      <c r="N20" s="4" t="str">
        <f>Table1[[#This Row],[id2]]&amp;Table1[[#This Row],[name4]]</f>
        <v>ec979e5e-270f-41dd-9ea4-de77431a423aText</v>
      </c>
      <c r="O20" s="4" t="str">
        <f>IF(Table1[[#This Row],[value]]="","",Table1[[#This Row],[value]])</f>
        <v>Action: Discard a card from your hand to give attached hero +1 Ú or +1 Ò until the end of the phase. Limit 3 times per phase.</v>
      </c>
      <c r="P20" s="4" t="str">
        <f>Table1[[#This Row],[id2]]&amp;Table1[[#This Row],[name6]]</f>
        <v>ec979e5e-270f-41dd-9ea4-de77431a423a</v>
      </c>
      <c r="Q20" s="4" t="str">
        <f>IF(Table1[[#This Row],[value7]]="","",Table1[[#This Row],[value7]])</f>
        <v/>
      </c>
    </row>
    <row r="21" spans="1:17" x14ac:dyDescent="0.25">
      <c r="A21" s="1" t="s">
        <v>115</v>
      </c>
      <c r="B21" s="1" t="s">
        <v>80</v>
      </c>
      <c r="C21" s="1" t="s">
        <v>13</v>
      </c>
      <c r="D21" s="1" t="s">
        <v>56</v>
      </c>
      <c r="E21" s="1" t="s">
        <v>79</v>
      </c>
      <c r="F21" s="1" t="s">
        <v>83</v>
      </c>
      <c r="G21" s="1" t="s">
        <v>88</v>
      </c>
      <c r="H21" s="1" t="s">
        <v>31</v>
      </c>
      <c r="I21" s="1" t="s">
        <v>38</v>
      </c>
      <c r="J21" s="1"/>
      <c r="K21" s="1"/>
      <c r="L21" s="1"/>
      <c r="M21" s="1"/>
      <c r="N21" s="4" t="str">
        <f>Table1[[#This Row],[id2]]&amp;Table1[[#This Row],[name4]]</f>
        <v>13c9bc79-dee5-47a6-8649-ddff6a753bf6Quantity</v>
      </c>
      <c r="O21" s="4" t="str">
        <f>IF(Table1[[#This Row],[value]]="","",Table1[[#This Row],[value]])</f>
        <v>1</v>
      </c>
      <c r="P21" s="4" t="str">
        <f>Table1[[#This Row],[id2]]&amp;Table1[[#This Row],[name6]]</f>
        <v>13c9bc79-dee5-47a6-8649-ddff6a753bf6</v>
      </c>
      <c r="Q21" s="4" t="str">
        <f>IF(Table1[[#This Row],[value7]]="","",Table1[[#This Row],[value7]])</f>
        <v/>
      </c>
    </row>
    <row r="22" spans="1:17" x14ac:dyDescent="0.25">
      <c r="A22" s="1" t="s">
        <v>115</v>
      </c>
      <c r="B22" s="1" t="s">
        <v>80</v>
      </c>
      <c r="C22" s="1" t="s">
        <v>13</v>
      </c>
      <c r="D22" s="1" t="s">
        <v>56</v>
      </c>
      <c r="E22" s="1" t="s">
        <v>79</v>
      </c>
      <c r="F22" s="1" t="s">
        <v>83</v>
      </c>
      <c r="G22" s="1" t="s">
        <v>88</v>
      </c>
      <c r="H22" s="1" t="s">
        <v>30</v>
      </c>
      <c r="I22" s="1" t="s">
        <v>103</v>
      </c>
      <c r="J22" s="1"/>
      <c r="K22" s="1"/>
      <c r="L22" s="1"/>
      <c r="M22" s="1"/>
      <c r="N22" s="4" t="str">
        <f>Table1[[#This Row],[id2]]&amp;Table1[[#This Row],[name4]]</f>
        <v>13c9bc79-dee5-47a6-8649-ddff6a753bf6Encounter Set</v>
      </c>
      <c r="O22" s="4" t="str">
        <f>IF(Table1[[#This Row],[value]]="","",Table1[[#This Row],[value]])</f>
        <v>Spiders of Mirkwood</v>
      </c>
      <c r="P22" s="4" t="str">
        <f>Table1[[#This Row],[id2]]&amp;Table1[[#This Row],[name6]]</f>
        <v>13c9bc79-dee5-47a6-8649-ddff6a753bf6</v>
      </c>
      <c r="Q22" s="4" t="str">
        <f>IF(Table1[[#This Row],[value7]]="","",Table1[[#This Row],[value7]])</f>
        <v/>
      </c>
    </row>
    <row r="23" spans="1:17" x14ac:dyDescent="0.25">
      <c r="A23" s="1" t="s">
        <v>115</v>
      </c>
      <c r="B23" s="1" t="s">
        <v>80</v>
      </c>
      <c r="C23" s="1" t="s">
        <v>13</v>
      </c>
      <c r="D23" s="1" t="s">
        <v>56</v>
      </c>
      <c r="E23" s="1" t="s">
        <v>79</v>
      </c>
      <c r="F23" s="1" t="s">
        <v>83</v>
      </c>
      <c r="G23" s="1" t="s">
        <v>88</v>
      </c>
      <c r="H23" s="1" t="s">
        <v>14</v>
      </c>
      <c r="I23" s="1" t="s">
        <v>42</v>
      </c>
      <c r="J23" s="1"/>
      <c r="K23" s="1"/>
      <c r="L23" s="1"/>
      <c r="M23" s="1"/>
      <c r="N23" s="4" t="str">
        <f>Table1[[#This Row],[id2]]&amp;Table1[[#This Row],[name4]]</f>
        <v>13c9bc79-dee5-47a6-8649-ddff6a753bf6Type</v>
      </c>
      <c r="O23" s="4" t="str">
        <f>IF(Table1[[#This Row],[value]]="","",Table1[[#This Row],[value]])</f>
        <v>Enemy</v>
      </c>
      <c r="P23" s="4" t="str">
        <f>Table1[[#This Row],[id2]]&amp;Table1[[#This Row],[name6]]</f>
        <v>13c9bc79-dee5-47a6-8649-ddff6a753bf6</v>
      </c>
      <c r="Q23" s="4" t="str">
        <f>IF(Table1[[#This Row],[value7]]="","",Table1[[#This Row],[value7]])</f>
        <v/>
      </c>
    </row>
    <row r="24" spans="1:17" x14ac:dyDescent="0.25">
      <c r="A24" s="1" t="s">
        <v>115</v>
      </c>
      <c r="B24" s="1" t="s">
        <v>80</v>
      </c>
      <c r="C24" s="1" t="s">
        <v>13</v>
      </c>
      <c r="D24" s="1" t="s">
        <v>56</v>
      </c>
      <c r="E24" s="1" t="s">
        <v>79</v>
      </c>
      <c r="F24" s="1" t="s">
        <v>83</v>
      </c>
      <c r="G24" s="1" t="s">
        <v>88</v>
      </c>
      <c r="H24" s="1" t="s">
        <v>24</v>
      </c>
      <c r="I24" s="1" t="s">
        <v>98</v>
      </c>
      <c r="J24" s="1"/>
      <c r="K24" s="1"/>
      <c r="L24" s="1"/>
      <c r="M24" s="1"/>
      <c r="N24" s="4" t="str">
        <f>Table1[[#This Row],[id2]]&amp;Table1[[#This Row],[name4]]</f>
        <v>13c9bc79-dee5-47a6-8649-ddff6a753bf6Traits</v>
      </c>
      <c r="O24" s="4" t="str">
        <f>IF(Table1[[#This Row],[value]]="","",Table1[[#This Row],[value]])</f>
        <v>Creature. Spider.</v>
      </c>
      <c r="P24" s="4" t="str">
        <f>Table1[[#This Row],[id2]]&amp;Table1[[#This Row],[name6]]</f>
        <v>13c9bc79-dee5-47a6-8649-ddff6a753bf6</v>
      </c>
      <c r="Q24" s="4" t="str">
        <f>IF(Table1[[#This Row],[value7]]="","",Table1[[#This Row],[value7]])</f>
        <v/>
      </c>
    </row>
    <row r="25" spans="1:17" x14ac:dyDescent="0.25">
      <c r="A25" s="1" t="s">
        <v>115</v>
      </c>
      <c r="B25" s="1" t="s">
        <v>80</v>
      </c>
      <c r="C25" s="1" t="s">
        <v>13</v>
      </c>
      <c r="D25" s="1" t="s">
        <v>56</v>
      </c>
      <c r="E25" s="1" t="s">
        <v>79</v>
      </c>
      <c r="F25" s="1" t="s">
        <v>83</v>
      </c>
      <c r="G25" s="1" t="s">
        <v>88</v>
      </c>
      <c r="H25" s="1" t="s">
        <v>17</v>
      </c>
      <c r="I25" s="1" t="s">
        <v>99</v>
      </c>
      <c r="J25" s="1"/>
      <c r="K25" s="1"/>
      <c r="L25" s="1"/>
      <c r="M25" s="1"/>
      <c r="N25" s="4" t="str">
        <f>Table1[[#This Row],[id2]]&amp;Table1[[#This Row],[name4]]</f>
        <v>13c9bc79-dee5-47a6-8649-ddff6a753bf6Engagement Cost</v>
      </c>
      <c r="O25" s="4" t="str">
        <f>IF(Table1[[#This Row],[value]]="","",Table1[[#This Row],[value]])</f>
        <v>32</v>
      </c>
      <c r="P25" s="4" t="str">
        <f>Table1[[#This Row],[id2]]&amp;Table1[[#This Row],[name6]]</f>
        <v>13c9bc79-dee5-47a6-8649-ddff6a753bf6</v>
      </c>
      <c r="Q25" s="4" t="str">
        <f>IF(Table1[[#This Row],[value7]]="","",Table1[[#This Row],[value7]])</f>
        <v/>
      </c>
    </row>
    <row r="26" spans="1:17" x14ac:dyDescent="0.25">
      <c r="A26" s="1" t="s">
        <v>115</v>
      </c>
      <c r="B26" s="1" t="s">
        <v>80</v>
      </c>
      <c r="C26" s="1" t="s">
        <v>13</v>
      </c>
      <c r="D26" s="1" t="s">
        <v>56</v>
      </c>
      <c r="E26" s="1" t="s">
        <v>79</v>
      </c>
      <c r="F26" s="1" t="s">
        <v>83</v>
      </c>
      <c r="G26" s="1" t="s">
        <v>88</v>
      </c>
      <c r="H26" s="1" t="s">
        <v>28</v>
      </c>
      <c r="I26" s="1" t="s">
        <v>36</v>
      </c>
      <c r="J26" s="1"/>
      <c r="K26" s="1"/>
      <c r="L26" s="1"/>
      <c r="M26" s="1"/>
      <c r="N26" s="4" t="str">
        <f>Table1[[#This Row],[id2]]&amp;Table1[[#This Row],[name4]]</f>
        <v>13c9bc79-dee5-47a6-8649-ddff6a753bf6Threat</v>
      </c>
      <c r="O26" s="4" t="str">
        <f>IF(Table1[[#This Row],[value]]="","",Table1[[#This Row],[value]])</f>
        <v>3</v>
      </c>
      <c r="P26" s="4" t="str">
        <f>Table1[[#This Row],[id2]]&amp;Table1[[#This Row],[name6]]</f>
        <v>13c9bc79-dee5-47a6-8649-ddff6a753bf6</v>
      </c>
      <c r="Q26" s="4" t="str">
        <f>IF(Table1[[#This Row],[value7]]="","",Table1[[#This Row],[value7]])</f>
        <v/>
      </c>
    </row>
    <row r="27" spans="1:17" x14ac:dyDescent="0.25">
      <c r="A27" s="1" t="s">
        <v>115</v>
      </c>
      <c r="B27" s="1" t="s">
        <v>80</v>
      </c>
      <c r="C27" s="1" t="s">
        <v>13</v>
      </c>
      <c r="D27" s="1" t="s">
        <v>56</v>
      </c>
      <c r="E27" s="1" t="s">
        <v>79</v>
      </c>
      <c r="F27" s="1" t="s">
        <v>83</v>
      </c>
      <c r="G27" s="1" t="s">
        <v>88</v>
      </c>
      <c r="H27" s="1" t="s">
        <v>20</v>
      </c>
      <c r="I27" s="1" t="s">
        <v>40</v>
      </c>
      <c r="J27" s="1"/>
      <c r="K27" s="1"/>
      <c r="L27" s="1"/>
      <c r="M27" s="1"/>
      <c r="N27" s="4" t="str">
        <f>Table1[[#This Row],[id2]]&amp;Table1[[#This Row],[name4]]</f>
        <v>13c9bc79-dee5-47a6-8649-ddff6a753bf6Attack</v>
      </c>
      <c r="O27" s="4" t="str">
        <f>IF(Table1[[#This Row],[value]]="","",Table1[[#This Row],[value]])</f>
        <v>5</v>
      </c>
      <c r="P27" s="4" t="str">
        <f>Table1[[#This Row],[id2]]&amp;Table1[[#This Row],[name6]]</f>
        <v>13c9bc79-dee5-47a6-8649-ddff6a753bf6</v>
      </c>
      <c r="Q27" s="4" t="str">
        <f>IF(Table1[[#This Row],[value7]]="","",Table1[[#This Row],[value7]])</f>
        <v/>
      </c>
    </row>
    <row r="28" spans="1:17" x14ac:dyDescent="0.25">
      <c r="A28" s="1" t="s">
        <v>115</v>
      </c>
      <c r="B28" s="1" t="s">
        <v>80</v>
      </c>
      <c r="C28" s="1" t="s">
        <v>13</v>
      </c>
      <c r="D28" s="1" t="s">
        <v>56</v>
      </c>
      <c r="E28" s="1" t="s">
        <v>79</v>
      </c>
      <c r="F28" s="1" t="s">
        <v>83</v>
      </c>
      <c r="G28" s="1" t="s">
        <v>88</v>
      </c>
      <c r="H28" s="1" t="s">
        <v>21</v>
      </c>
      <c r="I28" s="1" t="s">
        <v>37</v>
      </c>
      <c r="J28" s="1"/>
      <c r="K28" s="1"/>
      <c r="L28" s="1"/>
      <c r="M28" s="1"/>
      <c r="N28" s="4" t="str">
        <f>Table1[[#This Row],[id2]]&amp;Table1[[#This Row],[name4]]</f>
        <v>13c9bc79-dee5-47a6-8649-ddff6a753bf6Defense</v>
      </c>
      <c r="O28" s="4" t="str">
        <f>IF(Table1[[#This Row],[value]]="","",Table1[[#This Row],[value]])</f>
        <v>2</v>
      </c>
      <c r="P28" s="4" t="str">
        <f>Table1[[#This Row],[id2]]&amp;Table1[[#This Row],[name6]]</f>
        <v>13c9bc79-dee5-47a6-8649-ddff6a753bf6</v>
      </c>
      <c r="Q28" s="4" t="str">
        <f>IF(Table1[[#This Row],[value7]]="","",Table1[[#This Row],[value7]])</f>
        <v/>
      </c>
    </row>
    <row r="29" spans="1:17" x14ac:dyDescent="0.25">
      <c r="A29" s="1" t="s">
        <v>115</v>
      </c>
      <c r="B29" s="1" t="s">
        <v>80</v>
      </c>
      <c r="C29" s="1" t="s">
        <v>13</v>
      </c>
      <c r="D29" s="1" t="s">
        <v>56</v>
      </c>
      <c r="E29" s="1" t="s">
        <v>79</v>
      </c>
      <c r="F29" s="1" t="s">
        <v>83</v>
      </c>
      <c r="G29" s="1" t="s">
        <v>88</v>
      </c>
      <c r="H29" s="1" t="s">
        <v>23</v>
      </c>
      <c r="I29" s="1" t="s">
        <v>100</v>
      </c>
      <c r="J29" s="1"/>
      <c r="K29" s="1"/>
      <c r="L29" s="1"/>
      <c r="M29" s="1"/>
      <c r="N29" s="4" t="str">
        <f>Table1[[#This Row],[id2]]&amp;Table1[[#This Row],[name4]]</f>
        <v>13c9bc79-dee5-47a6-8649-ddff6a753bf6Health</v>
      </c>
      <c r="O29" s="4" t="str">
        <f>IF(Table1[[#This Row],[value]]="","",Table1[[#This Row],[value]])</f>
        <v>9</v>
      </c>
      <c r="P29" s="4" t="str">
        <f>Table1[[#This Row],[id2]]&amp;Table1[[#This Row],[name6]]</f>
        <v>13c9bc79-dee5-47a6-8649-ddff6a753bf6</v>
      </c>
      <c r="Q29" s="4" t="str">
        <f>IF(Table1[[#This Row],[value7]]="","",Table1[[#This Row],[value7]])</f>
        <v/>
      </c>
    </row>
    <row r="30" spans="1:17" x14ac:dyDescent="0.25">
      <c r="A30" s="1" t="s">
        <v>115</v>
      </c>
      <c r="B30" s="1" t="s">
        <v>80</v>
      </c>
      <c r="C30" s="1" t="s">
        <v>13</v>
      </c>
      <c r="D30" s="1" t="s">
        <v>56</v>
      </c>
      <c r="E30" s="1" t="s">
        <v>79</v>
      </c>
      <c r="F30" s="1" t="s">
        <v>83</v>
      </c>
      <c r="G30" s="1" t="s">
        <v>88</v>
      </c>
      <c r="H30" s="1" t="s">
        <v>25</v>
      </c>
      <c r="I30" s="1" t="s">
        <v>101</v>
      </c>
      <c r="J30" s="1"/>
      <c r="K30" s="1"/>
      <c r="L30" s="1"/>
      <c r="M30" s="1"/>
      <c r="N30" s="4" t="str">
        <f>Table1[[#This Row],[id2]]&amp;Table1[[#This Row],[name4]]</f>
        <v>13c9bc79-dee5-47a6-8649-ddff6a753bf6Text</v>
      </c>
      <c r="O30" s="4" t="str">
        <f>IF(Table1[[#This Row],[value]]="","",Table1[[#This Row],[value]])</f>
        <v>When Revealed: Each character currently committed to a quest gets -1 Ò until the end of the phase.</v>
      </c>
      <c r="P30" s="4" t="str">
        <f>Table1[[#This Row],[id2]]&amp;Table1[[#This Row],[name6]]</f>
        <v>13c9bc79-dee5-47a6-8649-ddff6a753bf6</v>
      </c>
      <c r="Q30" s="4" t="str">
        <f>IF(Table1[[#This Row],[value7]]="","",Table1[[#This Row],[value7]])</f>
        <v/>
      </c>
    </row>
    <row r="31" spans="1:17" x14ac:dyDescent="0.25">
      <c r="A31" s="1" t="s">
        <v>115</v>
      </c>
      <c r="B31" s="1" t="s">
        <v>80</v>
      </c>
      <c r="C31" s="1" t="s">
        <v>13</v>
      </c>
      <c r="D31" s="1" t="s">
        <v>56</v>
      </c>
      <c r="E31" s="1" t="s">
        <v>79</v>
      </c>
      <c r="F31" s="1" t="s">
        <v>83</v>
      </c>
      <c r="G31" s="1" t="s">
        <v>88</v>
      </c>
      <c r="H31" s="1" t="s">
        <v>26</v>
      </c>
      <c r="I31" s="1" t="s">
        <v>102</v>
      </c>
      <c r="J31" s="1"/>
      <c r="K31" s="1"/>
      <c r="L31" s="1"/>
      <c r="M31" s="1"/>
      <c r="N31" s="4" t="str">
        <f>Table1[[#This Row],[id2]]&amp;Table1[[#This Row],[name4]]</f>
        <v>13c9bc79-dee5-47a6-8649-ddff6a753bf6Shadow</v>
      </c>
      <c r="O31" s="4" t="str">
        <f>IF(Table1[[#This Row],[value]]="","",Table1[[#This Row],[value]])</f>
        <v>Shadow: Raise defending player's threat by 4. (Raise defending player's threat by 8 instead if this attack is undefended.)</v>
      </c>
      <c r="P31" s="4" t="str">
        <f>Table1[[#This Row],[id2]]&amp;Table1[[#This Row],[name6]]</f>
        <v>13c9bc79-dee5-47a6-8649-ddff6a753bf6</v>
      </c>
      <c r="Q31" s="4" t="str">
        <f>IF(Table1[[#This Row],[value7]]="","",Table1[[#This Row],[value7]])</f>
        <v/>
      </c>
    </row>
    <row r="32" spans="1:17" x14ac:dyDescent="0.25">
      <c r="A32" s="1" t="s">
        <v>115</v>
      </c>
      <c r="B32" s="1" t="s">
        <v>80</v>
      </c>
      <c r="C32" s="1" t="s">
        <v>13</v>
      </c>
      <c r="D32" s="1" t="s">
        <v>56</v>
      </c>
      <c r="E32" s="1" t="s">
        <v>79</v>
      </c>
      <c r="F32" s="1" t="s">
        <v>84</v>
      </c>
      <c r="G32" s="1" t="s">
        <v>89</v>
      </c>
      <c r="H32" s="1" t="s">
        <v>31</v>
      </c>
      <c r="I32" s="2" t="s">
        <v>37</v>
      </c>
      <c r="J32" s="1"/>
      <c r="K32" s="1"/>
      <c r="L32" s="1"/>
      <c r="M32" s="2"/>
      <c r="N32" s="4" t="str">
        <f>Table1[[#This Row],[id2]]&amp;Table1[[#This Row],[name4]]</f>
        <v>bff0cd7a-8fe5-4d18-91e9-d3dbf885b01cQuantity</v>
      </c>
      <c r="O32" s="4" t="str">
        <f>IF(Table1[[#This Row],[value]]="","",Table1[[#This Row],[value]])</f>
        <v>2</v>
      </c>
      <c r="P32" s="4" t="str">
        <f>Table1[[#This Row],[id2]]&amp;Table1[[#This Row],[name6]]</f>
        <v>bff0cd7a-8fe5-4d18-91e9-d3dbf885b01c</v>
      </c>
      <c r="Q32" s="4" t="str">
        <f>IF(Table1[[#This Row],[value7]]="","",Table1[[#This Row],[value7]])</f>
        <v/>
      </c>
    </row>
    <row r="33" spans="1:17" x14ac:dyDescent="0.25">
      <c r="A33" s="1" t="s">
        <v>115</v>
      </c>
      <c r="B33" s="1" t="s">
        <v>80</v>
      </c>
      <c r="C33" s="1" t="s">
        <v>13</v>
      </c>
      <c r="D33" s="1" t="s">
        <v>56</v>
      </c>
      <c r="E33" s="1" t="s">
        <v>79</v>
      </c>
      <c r="F33" s="1" t="s">
        <v>84</v>
      </c>
      <c r="G33" s="1" t="s">
        <v>89</v>
      </c>
      <c r="H33" s="1" t="s">
        <v>30</v>
      </c>
      <c r="I33" s="2" t="s">
        <v>103</v>
      </c>
      <c r="J33" s="1"/>
      <c r="K33" s="1"/>
      <c r="L33" s="1"/>
      <c r="M33" s="2"/>
      <c r="N33" s="4" t="str">
        <f>Table1[[#This Row],[id2]]&amp;Table1[[#This Row],[name4]]</f>
        <v>bff0cd7a-8fe5-4d18-91e9-d3dbf885b01cEncounter Set</v>
      </c>
      <c r="O33" s="4" t="str">
        <f>IF(Table1[[#This Row],[value]]="","",Table1[[#This Row],[value]])</f>
        <v>Spiders of Mirkwood</v>
      </c>
      <c r="P33" s="4" t="str">
        <f>Table1[[#This Row],[id2]]&amp;Table1[[#This Row],[name6]]</f>
        <v>bff0cd7a-8fe5-4d18-91e9-d3dbf885b01c</v>
      </c>
      <c r="Q33" s="4" t="str">
        <f>IF(Table1[[#This Row],[value7]]="","",Table1[[#This Row],[value7]])</f>
        <v/>
      </c>
    </row>
    <row r="34" spans="1:17" x14ac:dyDescent="0.25">
      <c r="A34" s="1" t="s">
        <v>115</v>
      </c>
      <c r="B34" s="1" t="s">
        <v>80</v>
      </c>
      <c r="C34" s="1" t="s">
        <v>13</v>
      </c>
      <c r="D34" s="1" t="s">
        <v>56</v>
      </c>
      <c r="E34" s="1" t="s">
        <v>79</v>
      </c>
      <c r="F34" s="1" t="s">
        <v>84</v>
      </c>
      <c r="G34" s="1" t="s">
        <v>89</v>
      </c>
      <c r="H34" s="1" t="s">
        <v>14</v>
      </c>
      <c r="I34" s="2" t="s">
        <v>43</v>
      </c>
      <c r="J34" s="1"/>
      <c r="K34" s="1"/>
      <c r="L34" s="1"/>
      <c r="M34" s="2"/>
      <c r="N34" s="4" t="str">
        <f>Table1[[#This Row],[id2]]&amp;Table1[[#This Row],[name4]]</f>
        <v>bff0cd7a-8fe5-4d18-91e9-d3dbf885b01cType</v>
      </c>
      <c r="O34" s="4" t="str">
        <f>IF(Table1[[#This Row],[value]]="","",Table1[[#This Row],[value]])</f>
        <v>Location</v>
      </c>
      <c r="P34" s="4" t="str">
        <f>Table1[[#This Row],[id2]]&amp;Table1[[#This Row],[name6]]</f>
        <v>bff0cd7a-8fe5-4d18-91e9-d3dbf885b01c</v>
      </c>
      <c r="Q34" s="4" t="str">
        <f>IF(Table1[[#This Row],[value7]]="","",Table1[[#This Row],[value7]])</f>
        <v/>
      </c>
    </row>
    <row r="35" spans="1:17" x14ac:dyDescent="0.25">
      <c r="A35" s="1" t="s">
        <v>115</v>
      </c>
      <c r="B35" s="1" t="s">
        <v>80</v>
      </c>
      <c r="C35" s="1" t="s">
        <v>13</v>
      </c>
      <c r="D35" s="1" t="s">
        <v>56</v>
      </c>
      <c r="E35" s="1" t="s">
        <v>79</v>
      </c>
      <c r="F35" s="1" t="s">
        <v>84</v>
      </c>
      <c r="G35" s="1" t="s">
        <v>89</v>
      </c>
      <c r="H35" s="1" t="s">
        <v>24</v>
      </c>
      <c r="I35" s="1" t="s">
        <v>104</v>
      </c>
      <c r="J35" s="1"/>
      <c r="K35" s="1"/>
      <c r="L35" s="1"/>
      <c r="M35" s="1"/>
      <c r="N35" s="4" t="str">
        <f>Table1[[#This Row],[id2]]&amp;Table1[[#This Row],[name4]]</f>
        <v>bff0cd7a-8fe5-4d18-91e9-d3dbf885b01cTraits</v>
      </c>
      <c r="O35" s="4" t="str">
        <f>IF(Table1[[#This Row],[value]]="","",Table1[[#This Row],[value]])</f>
        <v>Forest.</v>
      </c>
      <c r="P35" s="4" t="str">
        <f>Table1[[#This Row],[id2]]&amp;Table1[[#This Row],[name6]]</f>
        <v>bff0cd7a-8fe5-4d18-91e9-d3dbf885b01c</v>
      </c>
      <c r="Q35" s="4" t="str">
        <f>IF(Table1[[#This Row],[value7]]="","",Table1[[#This Row],[value7]])</f>
        <v/>
      </c>
    </row>
    <row r="36" spans="1:17" x14ac:dyDescent="0.25">
      <c r="A36" s="1" t="s">
        <v>115</v>
      </c>
      <c r="B36" s="1" t="s">
        <v>80</v>
      </c>
      <c r="C36" s="1" t="s">
        <v>13</v>
      </c>
      <c r="D36" s="1" t="s">
        <v>56</v>
      </c>
      <c r="E36" s="1" t="s">
        <v>79</v>
      </c>
      <c r="F36" s="1" t="s">
        <v>84</v>
      </c>
      <c r="G36" s="1" t="s">
        <v>89</v>
      </c>
      <c r="H36" s="1" t="s">
        <v>28</v>
      </c>
      <c r="I36" s="1" t="s">
        <v>37</v>
      </c>
      <c r="J36" s="1"/>
      <c r="K36" s="1"/>
      <c r="L36" s="1"/>
      <c r="M36" s="1"/>
      <c r="N36" s="4" t="str">
        <f>Table1[[#This Row],[id2]]&amp;Table1[[#This Row],[name4]]</f>
        <v>bff0cd7a-8fe5-4d18-91e9-d3dbf885b01cThreat</v>
      </c>
      <c r="O36" s="4" t="str">
        <f>IF(Table1[[#This Row],[value]]="","",Table1[[#This Row],[value]])</f>
        <v>2</v>
      </c>
      <c r="P36" s="4" t="str">
        <f>Table1[[#This Row],[id2]]&amp;Table1[[#This Row],[name6]]</f>
        <v>bff0cd7a-8fe5-4d18-91e9-d3dbf885b01c</v>
      </c>
      <c r="Q36" s="4" t="str">
        <f>IF(Table1[[#This Row],[value7]]="","",Table1[[#This Row],[value7]])</f>
        <v/>
      </c>
    </row>
    <row r="37" spans="1:17" x14ac:dyDescent="0.25">
      <c r="A37" s="1" t="s">
        <v>115</v>
      </c>
      <c r="B37" s="1" t="s">
        <v>80</v>
      </c>
      <c r="C37" s="1" t="s">
        <v>13</v>
      </c>
      <c r="D37" s="1" t="s">
        <v>56</v>
      </c>
      <c r="E37" s="1" t="s">
        <v>79</v>
      </c>
      <c r="F37" s="1" t="s">
        <v>84</v>
      </c>
      <c r="G37" s="1" t="s">
        <v>89</v>
      </c>
      <c r="H37" s="1" t="s">
        <v>29</v>
      </c>
      <c r="I37" s="1" t="s">
        <v>37</v>
      </c>
      <c r="J37" s="1"/>
      <c r="K37" s="1"/>
      <c r="L37" s="1"/>
      <c r="M37" s="1"/>
      <c r="N37" s="4" t="str">
        <f>Table1[[#This Row],[id2]]&amp;Table1[[#This Row],[name4]]</f>
        <v>bff0cd7a-8fe5-4d18-91e9-d3dbf885b01cQuest Points</v>
      </c>
      <c r="O37" s="4" t="str">
        <f>IF(Table1[[#This Row],[value]]="","",Table1[[#This Row],[value]])</f>
        <v>2</v>
      </c>
      <c r="P37" s="4" t="str">
        <f>Table1[[#This Row],[id2]]&amp;Table1[[#This Row],[name6]]</f>
        <v>bff0cd7a-8fe5-4d18-91e9-d3dbf885b01c</v>
      </c>
      <c r="Q37" s="4" t="str">
        <f>IF(Table1[[#This Row],[value7]]="","",Table1[[#This Row],[value7]])</f>
        <v/>
      </c>
    </row>
    <row r="38" spans="1:17" x14ac:dyDescent="0.25">
      <c r="A38" s="1" t="s">
        <v>115</v>
      </c>
      <c r="B38" s="1" t="s">
        <v>80</v>
      </c>
      <c r="C38" s="1" t="s">
        <v>13</v>
      </c>
      <c r="D38" s="1" t="s">
        <v>56</v>
      </c>
      <c r="E38" s="1" t="s">
        <v>79</v>
      </c>
      <c r="F38" s="1" t="s">
        <v>84</v>
      </c>
      <c r="G38" s="1" t="s">
        <v>89</v>
      </c>
      <c r="H38" s="1" t="s">
        <v>25</v>
      </c>
      <c r="I38" s="1" t="s">
        <v>105</v>
      </c>
      <c r="J38" s="1"/>
      <c r="K38" s="1"/>
      <c r="L38" s="1"/>
      <c r="M38" s="1"/>
      <c r="N38" s="4" t="str">
        <f>Table1[[#This Row],[id2]]&amp;Table1[[#This Row],[name4]]</f>
        <v>bff0cd7a-8fe5-4d18-91e9-d3dbf885b01cText</v>
      </c>
      <c r="O38" s="4" t="str">
        <f>IF(Table1[[#This Row],[value]]="","",Table1[[#This Row],[value]])</f>
        <v>Travel: Each player must exhaust 1 hero he controls to travel here.</v>
      </c>
      <c r="P38" s="4" t="str">
        <f>Table1[[#This Row],[id2]]&amp;Table1[[#This Row],[name6]]</f>
        <v>bff0cd7a-8fe5-4d18-91e9-d3dbf885b01c</v>
      </c>
      <c r="Q38" s="4" t="str">
        <f>IF(Table1[[#This Row],[value7]]="","",Table1[[#This Row],[value7]])</f>
        <v/>
      </c>
    </row>
    <row r="39" spans="1:17" x14ac:dyDescent="0.25">
      <c r="A39" s="1" t="s">
        <v>115</v>
      </c>
      <c r="B39" s="1" t="s">
        <v>80</v>
      </c>
      <c r="C39" s="1" t="s">
        <v>13</v>
      </c>
      <c r="D39" s="1" t="s">
        <v>56</v>
      </c>
      <c r="E39" s="1" t="s">
        <v>79</v>
      </c>
      <c r="F39" s="1" t="s">
        <v>85</v>
      </c>
      <c r="G39" s="1" t="s">
        <v>90</v>
      </c>
      <c r="H39" s="1" t="s">
        <v>31</v>
      </c>
      <c r="I39" s="1" t="s">
        <v>38</v>
      </c>
      <c r="J39" s="1"/>
      <c r="K39" s="1"/>
      <c r="L39" s="1"/>
      <c r="M39" s="1"/>
      <c r="N39" s="4" t="str">
        <f>Table1[[#This Row],[id2]]&amp;Table1[[#This Row],[name4]]</f>
        <v>86a8cb61-a4d2-40f7-82a7-adfe5a835acdQuantity</v>
      </c>
      <c r="O39" s="4" t="str">
        <f>IF(Table1[[#This Row],[value]]="","",Table1[[#This Row],[value]])</f>
        <v>1</v>
      </c>
      <c r="P39" s="4" t="str">
        <f>Table1[[#This Row],[id2]]&amp;Table1[[#This Row],[name6]]</f>
        <v>86a8cb61-a4d2-40f7-82a7-adfe5a835acd</v>
      </c>
      <c r="Q39" s="4" t="str">
        <f>IF(Table1[[#This Row],[value7]]="","",Table1[[#This Row],[value7]])</f>
        <v/>
      </c>
    </row>
    <row r="40" spans="1:17" x14ac:dyDescent="0.25">
      <c r="A40" s="1" t="s">
        <v>115</v>
      </c>
      <c r="B40" s="1" t="s">
        <v>80</v>
      </c>
      <c r="C40" s="1" t="s">
        <v>13</v>
      </c>
      <c r="D40" s="1" t="s">
        <v>56</v>
      </c>
      <c r="E40" s="1" t="s">
        <v>79</v>
      </c>
      <c r="F40" s="1" t="s">
        <v>85</v>
      </c>
      <c r="G40" s="1" t="s">
        <v>90</v>
      </c>
      <c r="H40" s="1" t="s">
        <v>30</v>
      </c>
      <c r="I40" s="1" t="s">
        <v>107</v>
      </c>
      <c r="J40" s="1"/>
      <c r="K40" s="1"/>
      <c r="L40" s="1"/>
      <c r="M40" s="1"/>
      <c r="N40" s="4" t="str">
        <f>Table1[[#This Row],[id2]]&amp;Table1[[#This Row],[name4]]</f>
        <v>86a8cb61-a4d2-40f7-82a7-adfe5a835acdEncounter Set</v>
      </c>
      <c r="O40" s="4" t="str">
        <f>IF(Table1[[#This Row],[value]]="","",Table1[[#This Row],[value]])</f>
        <v>Escape from Dol Guldur</v>
      </c>
      <c r="P40" s="4" t="str">
        <f>Table1[[#This Row],[id2]]&amp;Table1[[#This Row],[name6]]</f>
        <v>86a8cb61-a4d2-40f7-82a7-adfe5a835acd</v>
      </c>
      <c r="Q40" s="4" t="str">
        <f>IF(Table1[[#This Row],[value7]]="","",Table1[[#This Row],[value7]])</f>
        <v/>
      </c>
    </row>
    <row r="41" spans="1:17" x14ac:dyDescent="0.25">
      <c r="A41" s="1" t="s">
        <v>115</v>
      </c>
      <c r="B41" s="1" t="s">
        <v>80</v>
      </c>
      <c r="C41" s="1" t="s">
        <v>13</v>
      </c>
      <c r="D41" s="1" t="s">
        <v>56</v>
      </c>
      <c r="E41" s="1" t="s">
        <v>79</v>
      </c>
      <c r="F41" s="1" t="s">
        <v>85</v>
      </c>
      <c r="G41" s="1" t="s">
        <v>90</v>
      </c>
      <c r="H41" s="1" t="s">
        <v>14</v>
      </c>
      <c r="I41" s="1" t="s">
        <v>44</v>
      </c>
      <c r="J41" s="1"/>
      <c r="K41" s="1"/>
      <c r="L41" s="1"/>
      <c r="M41" s="1"/>
      <c r="N41" s="4" t="str">
        <f>Table1[[#This Row],[id2]]&amp;Table1[[#This Row],[name4]]</f>
        <v>86a8cb61-a4d2-40f7-82a7-adfe5a835acdType</v>
      </c>
      <c r="O41" s="4" t="str">
        <f>IF(Table1[[#This Row],[value]]="","",Table1[[#This Row],[value]])</f>
        <v>Quest</v>
      </c>
      <c r="P41" s="4" t="str">
        <f>Table1[[#This Row],[id2]]&amp;Table1[[#This Row],[name6]]</f>
        <v>86a8cb61-a4d2-40f7-82a7-adfe5a835acd</v>
      </c>
      <c r="Q41" s="4" t="str">
        <f>IF(Table1[[#This Row],[value7]]="","",Table1[[#This Row],[value7]])</f>
        <v/>
      </c>
    </row>
    <row r="42" spans="1:17" x14ac:dyDescent="0.25">
      <c r="A42" s="1" t="s">
        <v>115</v>
      </c>
      <c r="B42" s="1" t="s">
        <v>80</v>
      </c>
      <c r="C42" s="1" t="s">
        <v>13</v>
      </c>
      <c r="D42" s="1" t="s">
        <v>56</v>
      </c>
      <c r="E42" s="1" t="s">
        <v>79</v>
      </c>
      <c r="F42" s="1" t="s">
        <v>85</v>
      </c>
      <c r="G42" s="1" t="s">
        <v>90</v>
      </c>
      <c r="H42" s="1" t="s">
        <v>25</v>
      </c>
      <c r="I42" s="1" t="s">
        <v>106</v>
      </c>
      <c r="J42" s="1"/>
      <c r="K42" s="1"/>
      <c r="L42" s="1"/>
      <c r="M42" s="1"/>
      <c r="N42" s="4" t="str">
        <f>Table1[[#This Row],[id2]]&amp;Table1[[#This Row],[name4]]</f>
        <v>86a8cb61-a4d2-40f7-82a7-adfe5a835acdText</v>
      </c>
      <c r="O42" s="4"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s="4" t="str">
        <f>Table1[[#This Row],[id2]]&amp;Table1[[#This Row],[name6]]</f>
        <v>86a8cb61-a4d2-40f7-82a7-adfe5a835acd</v>
      </c>
      <c r="Q42" s="4" t="str">
        <f>IF(Table1[[#This Row],[value7]]="","",Table1[[#This Row],[value7]])</f>
        <v/>
      </c>
    </row>
    <row r="43" spans="1:17" x14ac:dyDescent="0.25">
      <c r="A43" s="1" t="s">
        <v>115</v>
      </c>
      <c r="B43" s="1" t="s">
        <v>80</v>
      </c>
      <c r="C43" s="1" t="s">
        <v>13</v>
      </c>
      <c r="D43" s="1" t="s">
        <v>56</v>
      </c>
      <c r="E43" s="1" t="s">
        <v>79</v>
      </c>
      <c r="F43" s="1" t="s">
        <v>85</v>
      </c>
      <c r="G43" s="1" t="s">
        <v>90</v>
      </c>
      <c r="H43" s="1" t="s">
        <v>19</v>
      </c>
      <c r="I43" s="1" t="s">
        <v>108</v>
      </c>
      <c r="J43" s="1"/>
      <c r="K43" s="1"/>
      <c r="L43" s="1"/>
      <c r="M43" s="1"/>
      <c r="N43" s="4" t="str">
        <f>Table1[[#This Row],[id2]]&amp;Table1[[#This Row],[name4]]</f>
        <v>86a8cb61-a4d2-40f7-82a7-adfe5a835acdSetup</v>
      </c>
      <c r="O43" s="4" t="str">
        <f>IF(Table1[[#This Row],[value]]="","",Table1[[#This Row],[value]])</f>
        <v>ssst</v>
      </c>
      <c r="P43" s="4" t="str">
        <f>Table1[[#This Row],[id2]]&amp;Table1[[#This Row],[name6]]</f>
        <v>86a8cb61-a4d2-40f7-82a7-adfe5a835acd</v>
      </c>
      <c r="Q43" s="4" t="str">
        <f>IF(Table1[[#This Row],[value7]]="","",Table1[[#This Row],[value7]])</f>
        <v/>
      </c>
    </row>
    <row r="44" spans="1:17" x14ac:dyDescent="0.25">
      <c r="A44" s="1" t="s">
        <v>115</v>
      </c>
      <c r="B44" s="1" t="s">
        <v>80</v>
      </c>
      <c r="C44" s="1" t="s">
        <v>13</v>
      </c>
      <c r="D44" s="1" t="s">
        <v>56</v>
      </c>
      <c r="E44" s="1" t="s">
        <v>79</v>
      </c>
      <c r="F44" s="1" t="s">
        <v>85</v>
      </c>
      <c r="G44" s="1" t="s">
        <v>90</v>
      </c>
      <c r="H44" s="1"/>
      <c r="I44" s="1"/>
      <c r="J44" s="1" t="s">
        <v>109</v>
      </c>
      <c r="K44" s="1" t="s">
        <v>45</v>
      </c>
      <c r="L44" s="1" t="s">
        <v>14</v>
      </c>
      <c r="M44" s="1" t="s">
        <v>44</v>
      </c>
      <c r="N44" s="4" t="str">
        <f>Table1[[#This Row],[id2]]&amp;Table1[[#This Row],[name4]]</f>
        <v>86a8cb61-a4d2-40f7-82a7-adfe5a835acd</v>
      </c>
      <c r="O44" s="4" t="str">
        <f>IF(Table1[[#This Row],[value]]="","",Table1[[#This Row],[value]])</f>
        <v/>
      </c>
      <c r="P44" s="4" t="str">
        <f>Table1[[#This Row],[id2]]&amp;Table1[[#This Row],[name6]]</f>
        <v>86a8cb61-a4d2-40f7-82a7-adfe5a835acdType</v>
      </c>
      <c r="Q44" s="4" t="str">
        <f>IF(Table1[[#This Row],[value7]]="","",Table1[[#This Row],[value7]])</f>
        <v>Quest</v>
      </c>
    </row>
    <row r="45" spans="1:17" x14ac:dyDescent="0.25">
      <c r="A45" s="1" t="s">
        <v>115</v>
      </c>
      <c r="B45" s="1" t="s">
        <v>80</v>
      </c>
      <c r="C45" s="1" t="s">
        <v>13</v>
      </c>
      <c r="D45" s="1" t="s">
        <v>56</v>
      </c>
      <c r="E45" s="1" t="s">
        <v>79</v>
      </c>
      <c r="F45" s="1" t="s">
        <v>85</v>
      </c>
      <c r="G45" s="1" t="s">
        <v>90</v>
      </c>
      <c r="H45" s="1"/>
      <c r="I45" s="1"/>
      <c r="J45" s="1" t="s">
        <v>109</v>
      </c>
      <c r="K45" s="1" t="s">
        <v>45</v>
      </c>
      <c r="L45" s="1" t="s">
        <v>29</v>
      </c>
      <c r="M45" s="1" t="s">
        <v>100</v>
      </c>
      <c r="N45" s="4" t="str">
        <f>Table1[[#This Row],[id2]]&amp;Table1[[#This Row],[name4]]</f>
        <v>86a8cb61-a4d2-40f7-82a7-adfe5a835acd</v>
      </c>
      <c r="O45" s="4" t="str">
        <f>IF(Table1[[#This Row],[value]]="","",Table1[[#This Row],[value]])</f>
        <v/>
      </c>
      <c r="P45" s="4" t="str">
        <f>Table1[[#This Row],[id2]]&amp;Table1[[#This Row],[name6]]</f>
        <v>86a8cb61-a4d2-40f7-82a7-adfe5a835acdQuest Points</v>
      </c>
      <c r="Q45" s="4" t="str">
        <f>IF(Table1[[#This Row],[value7]]="","",Table1[[#This Row],[value7]])</f>
        <v>9</v>
      </c>
    </row>
    <row r="46" spans="1:17" ht="409.5" x14ac:dyDescent="0.25">
      <c r="A46" s="1" t="s">
        <v>115</v>
      </c>
      <c r="B46" s="1" t="s">
        <v>80</v>
      </c>
      <c r="C46" s="1" t="s">
        <v>13</v>
      </c>
      <c r="D46" s="1" t="s">
        <v>56</v>
      </c>
      <c r="E46" s="1" t="s">
        <v>79</v>
      </c>
      <c r="F46" s="1" t="s">
        <v>85</v>
      </c>
      <c r="G46" s="1" t="s">
        <v>90</v>
      </c>
      <c r="H46" s="1"/>
      <c r="I46" s="1"/>
      <c r="J46" s="1" t="s">
        <v>109</v>
      </c>
      <c r="K46" s="1" t="s">
        <v>45</v>
      </c>
      <c r="L46" s="1" t="s">
        <v>25</v>
      </c>
      <c r="M46" s="2" t="s">
        <v>110</v>
      </c>
      <c r="N46" s="4" t="str">
        <f>Table1[[#This Row],[id2]]&amp;Table1[[#This Row],[name4]]</f>
        <v>86a8cb61-a4d2-40f7-82a7-adfe5a835acd</v>
      </c>
      <c r="O46" s="4" t="str">
        <f>IF(Table1[[#This Row],[value]]="","",Table1[[#This Row],[value]])</f>
        <v/>
      </c>
      <c r="P46" s="4" t="str">
        <f>Table1[[#This Row],[id2]]&amp;Table1[[#This Row],[name6]]</f>
        <v>86a8cb61-a4d2-40f7-82a7-adfe5a835acdText</v>
      </c>
      <c r="Q46" s="4"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x14ac:dyDescent="0.25">
      <c r="A47" s="1" t="s">
        <v>115</v>
      </c>
      <c r="B47" s="1" t="s">
        <v>80</v>
      </c>
      <c r="C47" s="1" t="s">
        <v>13</v>
      </c>
      <c r="D47" s="1" t="s">
        <v>56</v>
      </c>
      <c r="E47" s="1" t="s">
        <v>79</v>
      </c>
      <c r="F47" s="1" t="s">
        <v>81</v>
      </c>
      <c r="G47" s="1" t="s">
        <v>86</v>
      </c>
      <c r="H47" s="1" t="s">
        <v>31</v>
      </c>
      <c r="I47" s="1" t="s">
        <v>38</v>
      </c>
      <c r="J47" s="1"/>
      <c r="K47" s="1"/>
      <c r="L47" s="1"/>
      <c r="M47" s="2"/>
      <c r="N47" s="4" t="str">
        <f>Table1[[#This Row],[id2]]&amp;Table1[[#This Row],[name4]]</f>
        <v>cd20023c-210a-498f-9183-65c461183c4cQuantity</v>
      </c>
      <c r="O47" s="4" t="str">
        <f>IF(Table1[[#This Row],[value]]="","",Table1[[#This Row],[value]])</f>
        <v>1</v>
      </c>
      <c r="P47" s="4" t="str">
        <f>Table1[[#This Row],[id2]]&amp;Table1[[#This Row],[name6]]</f>
        <v>cd20023c-210a-498f-9183-65c461183c4c</v>
      </c>
      <c r="Q47" s="4" t="str">
        <f>IF(Table1[[#This Row],[value7]]="","",Table1[[#This Row],[value7]])</f>
        <v/>
      </c>
    </row>
    <row r="48" spans="1:17" x14ac:dyDescent="0.25">
      <c r="A48" s="1" t="s">
        <v>115</v>
      </c>
      <c r="B48" s="1" t="s">
        <v>80</v>
      </c>
      <c r="C48" s="1" t="s">
        <v>13</v>
      </c>
      <c r="D48" s="1" t="s">
        <v>56</v>
      </c>
      <c r="E48" s="1" t="s">
        <v>79</v>
      </c>
      <c r="F48" s="1" t="s">
        <v>81</v>
      </c>
      <c r="G48" s="1" t="s">
        <v>86</v>
      </c>
      <c r="H48" s="1" t="s">
        <v>18</v>
      </c>
      <c r="I48" s="1" t="s">
        <v>35</v>
      </c>
      <c r="J48" s="1"/>
      <c r="K48" s="1"/>
      <c r="L48" s="1"/>
      <c r="M48" s="2"/>
      <c r="N48" s="4" t="str">
        <f>Table1[[#This Row],[id2]]&amp;Table1[[#This Row],[name4]]</f>
        <v>cd20023c-210a-498f-9183-65c461183c4cUnique</v>
      </c>
      <c r="O48" s="4" t="str">
        <f>IF(Table1[[#This Row],[value]]="","",Table1[[#This Row],[value]])</f>
        <v>‰</v>
      </c>
      <c r="P48" s="4" t="str">
        <f>Table1[[#This Row],[id2]]&amp;Table1[[#This Row],[name6]]</f>
        <v>cd20023c-210a-498f-9183-65c461183c4c</v>
      </c>
      <c r="Q48" s="4" t="str">
        <f>IF(Table1[[#This Row],[value7]]="","",Table1[[#This Row],[value7]])</f>
        <v/>
      </c>
    </row>
    <row r="49" spans="1:17" x14ac:dyDescent="0.25">
      <c r="A49" s="1" t="s">
        <v>115</v>
      </c>
      <c r="B49" s="1" t="s">
        <v>80</v>
      </c>
      <c r="C49" s="1" t="s">
        <v>13</v>
      </c>
      <c r="D49" s="1" t="s">
        <v>56</v>
      </c>
      <c r="E49" s="1" t="s">
        <v>79</v>
      </c>
      <c r="F49" s="1" t="s">
        <v>81</v>
      </c>
      <c r="G49" s="1" t="s">
        <v>86</v>
      </c>
      <c r="H49" s="1" t="s">
        <v>14</v>
      </c>
      <c r="I49" s="1" t="s">
        <v>33</v>
      </c>
      <c r="J49" s="1"/>
      <c r="K49" s="1"/>
      <c r="L49" s="1"/>
      <c r="M49" s="2"/>
      <c r="N49" s="4" t="str">
        <f>Table1[[#This Row],[id2]]&amp;Table1[[#This Row],[name4]]</f>
        <v>cd20023c-210a-498f-9183-65c461183c4cType</v>
      </c>
      <c r="O49" s="4" t="str">
        <f>IF(Table1[[#This Row],[value]]="","",Table1[[#This Row],[value]])</f>
        <v>Hero</v>
      </c>
      <c r="P49" s="4" t="str">
        <f>Table1[[#This Row],[id2]]&amp;Table1[[#This Row],[name6]]</f>
        <v>cd20023c-210a-498f-9183-65c461183c4c</v>
      </c>
      <c r="Q49" s="4" t="str">
        <f>IF(Table1[[#This Row],[value7]]="","",Table1[[#This Row],[value7]])</f>
        <v/>
      </c>
    </row>
    <row r="50" spans="1:17" x14ac:dyDescent="0.25">
      <c r="A50" s="1" t="s">
        <v>115</v>
      </c>
      <c r="B50" s="1" t="s">
        <v>80</v>
      </c>
      <c r="C50" s="1" t="s">
        <v>13</v>
      </c>
      <c r="D50" s="1" t="s">
        <v>56</v>
      </c>
      <c r="E50" s="1" t="s">
        <v>79</v>
      </c>
      <c r="F50" s="1" t="s">
        <v>81</v>
      </c>
      <c r="G50" s="1" t="s">
        <v>86</v>
      </c>
      <c r="H50" s="1" t="s">
        <v>15</v>
      </c>
      <c r="I50" s="1" t="s">
        <v>34</v>
      </c>
      <c r="J50" s="1"/>
      <c r="K50" s="1"/>
      <c r="L50" s="1"/>
      <c r="M50" s="2"/>
      <c r="N50" s="4" t="str">
        <f>Table1[[#This Row],[id2]]&amp;Table1[[#This Row],[name4]]</f>
        <v>cd20023c-210a-498f-9183-65c461183c4cSphere</v>
      </c>
      <c r="O50" s="4" t="str">
        <f>IF(Table1[[#This Row],[value]]="","",Table1[[#This Row],[value]])</f>
        <v>Leadership</v>
      </c>
      <c r="P50" s="4" t="str">
        <f>Table1[[#This Row],[id2]]&amp;Table1[[#This Row],[name6]]</f>
        <v>cd20023c-210a-498f-9183-65c461183c4c</v>
      </c>
      <c r="Q50" s="4" t="str">
        <f>IF(Table1[[#This Row],[value7]]="","",Table1[[#This Row],[value7]])</f>
        <v/>
      </c>
    </row>
    <row r="51" spans="1:17" x14ac:dyDescent="0.25">
      <c r="A51" s="1" t="s">
        <v>115</v>
      </c>
      <c r="B51" s="1" t="s">
        <v>80</v>
      </c>
      <c r="C51" s="1" t="s">
        <v>13</v>
      </c>
      <c r="D51" s="1" t="s">
        <v>56</v>
      </c>
      <c r="E51" s="1" t="s">
        <v>79</v>
      </c>
      <c r="F51" s="1" t="s">
        <v>81</v>
      </c>
      <c r="G51" s="1" t="s">
        <v>86</v>
      </c>
      <c r="H51" s="1" t="s">
        <v>24</v>
      </c>
      <c r="I51" s="1" t="s">
        <v>91</v>
      </c>
      <c r="J51" s="1"/>
      <c r="K51" s="1"/>
      <c r="L51" s="1"/>
      <c r="M51" s="2"/>
      <c r="N51" s="4" t="str">
        <f>Table1[[#This Row],[id2]]&amp;Table1[[#This Row],[name4]]</f>
        <v>cd20023c-210a-498f-9183-65c461183c4cTraits</v>
      </c>
      <c r="O51" s="4" t="str">
        <f>IF(Table1[[#This Row],[value]]="","",Table1[[#This Row],[value]])</f>
        <v>Dunedain. Noble. Ranger.</v>
      </c>
      <c r="P51" s="4" t="str">
        <f>Table1[[#This Row],[id2]]&amp;Table1[[#This Row],[name6]]</f>
        <v>cd20023c-210a-498f-9183-65c461183c4c</v>
      </c>
      <c r="Q51" s="4" t="str">
        <f>IF(Table1[[#This Row],[value7]]="","",Table1[[#This Row],[value7]])</f>
        <v/>
      </c>
    </row>
    <row r="52" spans="1:17" x14ac:dyDescent="0.25">
      <c r="A52" s="1" t="s">
        <v>115</v>
      </c>
      <c r="B52" s="1" t="s">
        <v>80</v>
      </c>
      <c r="C52" s="1" t="s">
        <v>13</v>
      </c>
      <c r="D52" s="1" t="s">
        <v>56</v>
      </c>
      <c r="E52" s="1" t="s">
        <v>79</v>
      </c>
      <c r="F52" s="1" t="s">
        <v>81</v>
      </c>
      <c r="G52" s="1" t="s">
        <v>86</v>
      </c>
      <c r="H52" s="1" t="s">
        <v>27</v>
      </c>
      <c r="I52" s="1" t="s">
        <v>92</v>
      </c>
      <c r="J52" s="1"/>
      <c r="K52" s="1"/>
      <c r="L52" s="1"/>
      <c r="M52" s="2"/>
      <c r="N52" s="4" t="str">
        <f>Table1[[#This Row],[id2]]&amp;Table1[[#This Row],[name4]]</f>
        <v>cd20023c-210a-498f-9183-65c461183c4cKeywords</v>
      </c>
      <c r="O52" s="4" t="str">
        <f>IF(Table1[[#This Row],[value]]="","",Table1[[#This Row],[value]])</f>
        <v>Sentinel.</v>
      </c>
      <c r="P52" s="4" t="str">
        <f>Table1[[#This Row],[id2]]&amp;Table1[[#This Row],[name6]]</f>
        <v>cd20023c-210a-498f-9183-65c461183c4c</v>
      </c>
      <c r="Q52" s="4" t="str">
        <f>IF(Table1[[#This Row],[value7]]="","",Table1[[#This Row],[value7]])</f>
        <v/>
      </c>
    </row>
    <row r="53" spans="1:17" x14ac:dyDescent="0.25">
      <c r="A53" s="1" t="s">
        <v>115</v>
      </c>
      <c r="B53" s="1" t="s">
        <v>80</v>
      </c>
      <c r="C53" s="1" t="s">
        <v>13</v>
      </c>
      <c r="D53" s="1" t="s">
        <v>56</v>
      </c>
      <c r="E53" s="1" t="s">
        <v>79</v>
      </c>
      <c r="F53" s="1" t="s">
        <v>81</v>
      </c>
      <c r="G53" s="1" t="s">
        <v>86</v>
      </c>
      <c r="H53" s="1" t="s">
        <v>16</v>
      </c>
      <c r="I53" s="1" t="s">
        <v>93</v>
      </c>
      <c r="J53" s="1"/>
      <c r="K53" s="1"/>
      <c r="L53" s="1"/>
      <c r="M53" s="2"/>
      <c r="N53" s="4" t="str">
        <f>Table1[[#This Row],[id2]]&amp;Table1[[#This Row],[name4]]</f>
        <v>cd20023c-210a-498f-9183-65c461183c4cCost</v>
      </c>
      <c r="O53" s="4" t="str">
        <f>IF(Table1[[#This Row],[value]]="","",Table1[[#This Row],[value]])</f>
        <v>12</v>
      </c>
      <c r="P53" s="4" t="str">
        <f>Table1[[#This Row],[id2]]&amp;Table1[[#This Row],[name6]]</f>
        <v>cd20023c-210a-498f-9183-65c461183c4c</v>
      </c>
      <c r="Q53" s="4" t="str">
        <f>IF(Table1[[#This Row],[value7]]="","",Table1[[#This Row],[value7]])</f>
        <v/>
      </c>
    </row>
    <row r="54" spans="1:17" x14ac:dyDescent="0.25">
      <c r="A54" s="1" t="s">
        <v>115</v>
      </c>
      <c r="B54" s="1" t="s">
        <v>80</v>
      </c>
      <c r="C54" s="1" t="s">
        <v>13</v>
      </c>
      <c r="D54" s="1" t="s">
        <v>56</v>
      </c>
      <c r="E54" s="1" t="s">
        <v>79</v>
      </c>
      <c r="F54" s="1" t="s">
        <v>81</v>
      </c>
      <c r="G54" s="1" t="s">
        <v>86</v>
      </c>
      <c r="H54" s="1" t="s">
        <v>22</v>
      </c>
      <c r="I54" s="1" t="s">
        <v>37</v>
      </c>
      <c r="J54" s="1"/>
      <c r="K54" s="1"/>
      <c r="L54" s="1"/>
      <c r="M54" s="2"/>
      <c r="N54" s="4" t="str">
        <f>Table1[[#This Row],[id2]]&amp;Table1[[#This Row],[name4]]</f>
        <v>cd20023c-210a-498f-9183-65c461183c4cWillpower</v>
      </c>
      <c r="O54" s="4" t="str">
        <f>IF(Table1[[#This Row],[value]]="","",Table1[[#This Row],[value]])</f>
        <v>2</v>
      </c>
      <c r="P54" s="4" t="str">
        <f>Table1[[#This Row],[id2]]&amp;Table1[[#This Row],[name6]]</f>
        <v>cd20023c-210a-498f-9183-65c461183c4c</v>
      </c>
      <c r="Q54" s="4" t="str">
        <f>IF(Table1[[#This Row],[value7]]="","",Table1[[#This Row],[value7]])</f>
        <v/>
      </c>
    </row>
    <row r="55" spans="1:17" x14ac:dyDescent="0.25">
      <c r="A55" s="1" t="s">
        <v>115</v>
      </c>
      <c r="B55" s="1" t="s">
        <v>80</v>
      </c>
      <c r="C55" s="1" t="s">
        <v>13</v>
      </c>
      <c r="D55" s="1" t="s">
        <v>56</v>
      </c>
      <c r="E55" s="1" t="s">
        <v>79</v>
      </c>
      <c r="F55" s="1" t="s">
        <v>81</v>
      </c>
      <c r="G55" s="1" t="s">
        <v>86</v>
      </c>
      <c r="H55" s="1" t="s">
        <v>20</v>
      </c>
      <c r="I55" s="1" t="s">
        <v>36</v>
      </c>
      <c r="J55" s="1"/>
      <c r="K55" s="1"/>
      <c r="L55" s="1"/>
      <c r="M55" s="2"/>
      <c r="N55" s="4" t="str">
        <f>Table1[[#This Row],[id2]]&amp;Table1[[#This Row],[name4]]</f>
        <v>cd20023c-210a-498f-9183-65c461183c4cAttack</v>
      </c>
      <c r="O55" s="4" t="str">
        <f>IF(Table1[[#This Row],[value]]="","",Table1[[#This Row],[value]])</f>
        <v>3</v>
      </c>
      <c r="P55" s="4" t="str">
        <f>Table1[[#This Row],[id2]]&amp;Table1[[#This Row],[name6]]</f>
        <v>cd20023c-210a-498f-9183-65c461183c4c</v>
      </c>
      <c r="Q55" s="4" t="str">
        <f>IF(Table1[[#This Row],[value7]]="","",Table1[[#This Row],[value7]])</f>
        <v/>
      </c>
    </row>
    <row r="56" spans="1:17" x14ac:dyDescent="0.25">
      <c r="A56" s="1" t="s">
        <v>115</v>
      </c>
      <c r="B56" s="1" t="s">
        <v>80</v>
      </c>
      <c r="C56" s="1" t="s">
        <v>13</v>
      </c>
      <c r="D56" s="1" t="s">
        <v>56</v>
      </c>
      <c r="E56" s="1" t="s">
        <v>79</v>
      </c>
      <c r="F56" s="1" t="s">
        <v>81</v>
      </c>
      <c r="G56" s="1" t="s">
        <v>86</v>
      </c>
      <c r="H56" s="1" t="s">
        <v>21</v>
      </c>
      <c r="I56" s="1" t="s">
        <v>37</v>
      </c>
      <c r="J56" s="1"/>
      <c r="K56" s="1"/>
      <c r="L56" s="1"/>
      <c r="M56" s="2"/>
      <c r="N56" s="4" t="str">
        <f>Table1[[#This Row],[id2]]&amp;Table1[[#This Row],[name4]]</f>
        <v>cd20023c-210a-498f-9183-65c461183c4cDefense</v>
      </c>
      <c r="O56" s="4" t="str">
        <f>IF(Table1[[#This Row],[value]]="","",Table1[[#This Row],[value]])</f>
        <v>2</v>
      </c>
      <c r="P56" s="4" t="str">
        <f>Table1[[#This Row],[id2]]&amp;Table1[[#This Row],[name6]]</f>
        <v>cd20023c-210a-498f-9183-65c461183c4c</v>
      </c>
      <c r="Q56" s="4" t="str">
        <f>IF(Table1[[#This Row],[value7]]="","",Table1[[#This Row],[value7]])</f>
        <v/>
      </c>
    </row>
    <row r="57" spans="1:17" x14ac:dyDescent="0.25">
      <c r="A57" s="1" t="s">
        <v>115</v>
      </c>
      <c r="B57" s="1" t="s">
        <v>80</v>
      </c>
      <c r="C57" s="1" t="s">
        <v>13</v>
      </c>
      <c r="D57" s="1" t="s">
        <v>56</v>
      </c>
      <c r="E57" s="1" t="s">
        <v>79</v>
      </c>
      <c r="F57" s="1" t="s">
        <v>81</v>
      </c>
      <c r="G57" s="1" t="s">
        <v>86</v>
      </c>
      <c r="H57" s="1" t="s">
        <v>23</v>
      </c>
      <c r="I57" s="1" t="s">
        <v>40</v>
      </c>
      <c r="J57" s="1"/>
      <c r="K57" s="1"/>
      <c r="L57" s="1"/>
      <c r="M57" s="2"/>
      <c r="N57" s="4" t="str">
        <f>Table1[[#This Row],[id2]]&amp;Table1[[#This Row],[name4]]</f>
        <v>cd20023c-210a-498f-9183-65c461183c4cHealth</v>
      </c>
      <c r="O57" s="4" t="str">
        <f>IF(Table1[[#This Row],[value]]="","",Table1[[#This Row],[value]])</f>
        <v>5</v>
      </c>
      <c r="P57" s="4" t="str">
        <f>Table1[[#This Row],[id2]]&amp;Table1[[#This Row],[name6]]</f>
        <v>cd20023c-210a-498f-9183-65c461183c4c</v>
      </c>
      <c r="Q57" s="4" t="str">
        <f>IF(Table1[[#This Row],[value7]]="","",Table1[[#This Row],[value7]])</f>
        <v/>
      </c>
    </row>
    <row r="58" spans="1:17" ht="90" x14ac:dyDescent="0.25">
      <c r="A58" s="1" t="s">
        <v>115</v>
      </c>
      <c r="B58" s="1" t="s">
        <v>80</v>
      </c>
      <c r="C58" s="1" t="s">
        <v>13</v>
      </c>
      <c r="D58" s="1" t="s">
        <v>56</v>
      </c>
      <c r="E58" s="1" t="s">
        <v>79</v>
      </c>
      <c r="F58" s="1" t="s">
        <v>81</v>
      </c>
      <c r="G58" s="1" t="s">
        <v>86</v>
      </c>
      <c r="H58" s="1" t="s">
        <v>25</v>
      </c>
      <c r="I58" s="2" t="s">
        <v>94</v>
      </c>
      <c r="J58" s="1"/>
      <c r="K58" s="1"/>
      <c r="L58" s="1"/>
      <c r="M58" s="2"/>
      <c r="N58" s="4" t="str">
        <f>Table1[[#This Row],[id2]]&amp;Table1[[#This Row],[name4]]</f>
        <v>cd20023c-210a-498f-9183-65c461183c4cText</v>
      </c>
      <c r="O58" s="4" t="str">
        <f>IF(Table1[[#This Row],[value]]="","",Table1[[#This Row],[value]])</f>
        <v>Response: After Aragorn commits to a quest, spend 1 resource from his resource pool to ready him. 
You can now use "Quotes" &amp; Ampersands!
hit "ALT+Enter" for 
Newlines!</v>
      </c>
      <c r="P58" s="4" t="str">
        <f>Table1[[#This Row],[id2]]&amp;Table1[[#This Row],[name6]]</f>
        <v>cd20023c-210a-498f-9183-65c461183c4c</v>
      </c>
      <c r="Q58" s="4" t="str">
        <f>IF(Table1[[#This Row],[value7]]="","",Table1[[#This Row],[value7]])</f>
        <v/>
      </c>
    </row>
    <row r="59" spans="1:17" x14ac:dyDescent="0.25">
      <c r="A59" s="1" t="s">
        <v>115</v>
      </c>
      <c r="B59" s="1" t="s">
        <v>80</v>
      </c>
      <c r="C59" s="1" t="s">
        <v>13</v>
      </c>
      <c r="D59" s="1" t="s">
        <v>56</v>
      </c>
      <c r="E59" s="1" t="s">
        <v>79</v>
      </c>
      <c r="F59" s="1" t="s">
        <v>82</v>
      </c>
      <c r="G59" s="1" t="s">
        <v>87</v>
      </c>
      <c r="H59" s="1" t="s">
        <v>31</v>
      </c>
      <c r="I59" s="1" t="s">
        <v>37</v>
      </c>
      <c r="J59" s="1"/>
      <c r="K59" s="1"/>
      <c r="L59" s="1"/>
      <c r="M59" s="2"/>
      <c r="N59" s="4" t="str">
        <f>Table1[[#This Row],[id2]]&amp;Table1[[#This Row],[name4]]</f>
        <v>ec979e5e-270f-41dd-9ea4-de77431a423aQuantity</v>
      </c>
      <c r="O59" s="4" t="str">
        <f>IF(Table1[[#This Row],[value]]="","",Table1[[#This Row],[value]])</f>
        <v>2</v>
      </c>
      <c r="P59" s="4" t="str">
        <f>Table1[[#This Row],[id2]]&amp;Table1[[#This Row],[name6]]</f>
        <v>ec979e5e-270f-41dd-9ea4-de77431a423a</v>
      </c>
      <c r="Q59" s="4" t="str">
        <f>IF(Table1[[#This Row],[value7]]="","",Table1[[#This Row],[value7]])</f>
        <v/>
      </c>
    </row>
    <row r="60" spans="1:17" x14ac:dyDescent="0.25">
      <c r="A60" s="1" t="s">
        <v>115</v>
      </c>
      <c r="B60" s="1" t="s">
        <v>80</v>
      </c>
      <c r="C60" s="1" t="s">
        <v>13</v>
      </c>
      <c r="D60" s="1" t="s">
        <v>56</v>
      </c>
      <c r="E60" s="1" t="s">
        <v>79</v>
      </c>
      <c r="F60" s="1" t="s">
        <v>82</v>
      </c>
      <c r="G60" s="1" t="s">
        <v>87</v>
      </c>
      <c r="H60" s="1" t="s">
        <v>14</v>
      </c>
      <c r="I60" s="1" t="s">
        <v>41</v>
      </c>
      <c r="J60" s="1"/>
      <c r="K60" s="1"/>
      <c r="L60" s="1"/>
      <c r="M60" s="2"/>
      <c r="N60" s="4" t="str">
        <f>Table1[[#This Row],[id2]]&amp;Table1[[#This Row],[name4]]</f>
        <v>ec979e5e-270f-41dd-9ea4-de77431a423aType</v>
      </c>
      <c r="O60" s="4" t="str">
        <f>IF(Table1[[#This Row],[value]]="","",Table1[[#This Row],[value]])</f>
        <v>Attachment</v>
      </c>
      <c r="P60" s="4" t="str">
        <f>Table1[[#This Row],[id2]]&amp;Table1[[#This Row],[name6]]</f>
        <v>ec979e5e-270f-41dd-9ea4-de77431a423a</v>
      </c>
      <c r="Q60" s="4" t="str">
        <f>IF(Table1[[#This Row],[value7]]="","",Table1[[#This Row],[value7]])</f>
        <v/>
      </c>
    </row>
    <row r="61" spans="1:17" x14ac:dyDescent="0.25">
      <c r="A61" s="1" t="s">
        <v>115</v>
      </c>
      <c r="B61" s="1" t="s">
        <v>80</v>
      </c>
      <c r="C61" s="1" t="s">
        <v>13</v>
      </c>
      <c r="D61" s="1" t="s">
        <v>56</v>
      </c>
      <c r="E61" s="1" t="s">
        <v>79</v>
      </c>
      <c r="F61" s="1" t="s">
        <v>82</v>
      </c>
      <c r="G61" s="1" t="s">
        <v>87</v>
      </c>
      <c r="H61" s="1" t="s">
        <v>15</v>
      </c>
      <c r="I61" s="1" t="s">
        <v>39</v>
      </c>
      <c r="J61" s="1"/>
      <c r="K61" s="1"/>
      <c r="L61" s="1"/>
      <c r="M61" s="2"/>
      <c r="N61" s="4" t="str">
        <f>Table1[[#This Row],[id2]]&amp;Table1[[#This Row],[name4]]</f>
        <v>ec979e5e-270f-41dd-9ea4-de77431a423aSphere</v>
      </c>
      <c r="O61" s="4" t="str">
        <f>IF(Table1[[#This Row],[value]]="","",Table1[[#This Row],[value]])</f>
        <v>Lore</v>
      </c>
      <c r="P61" s="4" t="str">
        <f>Table1[[#This Row],[id2]]&amp;Table1[[#This Row],[name6]]</f>
        <v>ec979e5e-270f-41dd-9ea4-de77431a423a</v>
      </c>
      <c r="Q61" s="4" t="str">
        <f>IF(Table1[[#This Row],[value7]]="","",Table1[[#This Row],[value7]])</f>
        <v/>
      </c>
    </row>
    <row r="62" spans="1:17" x14ac:dyDescent="0.25">
      <c r="A62" s="1" t="s">
        <v>115</v>
      </c>
      <c r="B62" s="1" t="s">
        <v>80</v>
      </c>
      <c r="C62" s="1" t="s">
        <v>13</v>
      </c>
      <c r="D62" s="1" t="s">
        <v>56</v>
      </c>
      <c r="E62" s="1" t="s">
        <v>79</v>
      </c>
      <c r="F62" s="1" t="s">
        <v>82</v>
      </c>
      <c r="G62" s="1" t="s">
        <v>87</v>
      </c>
      <c r="H62" s="1" t="s">
        <v>24</v>
      </c>
      <c r="I62" s="1" t="s">
        <v>95</v>
      </c>
      <c r="J62" s="1"/>
      <c r="K62" s="1"/>
      <c r="L62" s="1"/>
      <c r="M62" s="2"/>
      <c r="N62" s="4" t="str">
        <f>Table1[[#This Row],[id2]]&amp;Table1[[#This Row],[name4]]</f>
        <v>ec979e5e-270f-41dd-9ea4-de77431a423aTraits</v>
      </c>
      <c r="O62" s="4" t="str">
        <f>IF(Table1[[#This Row],[value]]="","",Table1[[#This Row],[value]])</f>
        <v>Title.</v>
      </c>
      <c r="P62" s="4" t="str">
        <f>Table1[[#This Row],[id2]]&amp;Table1[[#This Row],[name6]]</f>
        <v>ec979e5e-270f-41dd-9ea4-de77431a423a</v>
      </c>
      <c r="Q62" s="4" t="str">
        <f>IF(Table1[[#This Row],[value7]]="","",Table1[[#This Row],[value7]])</f>
        <v/>
      </c>
    </row>
    <row r="63" spans="1:17" x14ac:dyDescent="0.25">
      <c r="A63" s="1" t="s">
        <v>115</v>
      </c>
      <c r="B63" s="1" t="s">
        <v>80</v>
      </c>
      <c r="C63" s="1" t="s">
        <v>13</v>
      </c>
      <c r="D63" s="1" t="s">
        <v>56</v>
      </c>
      <c r="E63" s="1" t="s">
        <v>79</v>
      </c>
      <c r="F63" s="1" t="s">
        <v>82</v>
      </c>
      <c r="G63" s="1" t="s">
        <v>87</v>
      </c>
      <c r="H63" s="1" t="s">
        <v>27</v>
      </c>
      <c r="I63" s="1" t="s">
        <v>96</v>
      </c>
      <c r="J63" s="1"/>
      <c r="K63" s="1"/>
      <c r="L63" s="1"/>
      <c r="M63" s="2"/>
      <c r="N63" s="4" t="str">
        <f>Table1[[#This Row],[id2]]&amp;Table1[[#This Row],[name4]]</f>
        <v>ec979e5e-270f-41dd-9ea4-de77431a423aKeywords</v>
      </c>
      <c r="O63" s="4" t="str">
        <f>IF(Table1[[#This Row],[value]]="","",Table1[[#This Row],[value]])</f>
        <v>Attach to a hero.</v>
      </c>
      <c r="P63" s="4" t="str">
        <f>Table1[[#This Row],[id2]]&amp;Table1[[#This Row],[name6]]</f>
        <v>ec979e5e-270f-41dd-9ea4-de77431a423a</v>
      </c>
      <c r="Q63" s="4" t="str">
        <f>IF(Table1[[#This Row],[value7]]="","",Table1[[#This Row],[value7]])</f>
        <v/>
      </c>
    </row>
    <row r="64" spans="1:17" x14ac:dyDescent="0.25">
      <c r="A64" s="1" t="s">
        <v>115</v>
      </c>
      <c r="B64" s="1" t="s">
        <v>80</v>
      </c>
      <c r="C64" s="1" t="s">
        <v>13</v>
      </c>
      <c r="D64" s="1" t="s">
        <v>56</v>
      </c>
      <c r="E64" s="1" t="s">
        <v>79</v>
      </c>
      <c r="F64" s="1" t="s">
        <v>82</v>
      </c>
      <c r="G64" s="1" t="s">
        <v>87</v>
      </c>
      <c r="H64" s="1" t="s">
        <v>16</v>
      </c>
      <c r="I64" s="1" t="s">
        <v>38</v>
      </c>
      <c r="J64" s="1"/>
      <c r="K64" s="1"/>
      <c r="L64" s="1"/>
      <c r="M64" s="2"/>
      <c r="N64" s="4" t="str">
        <f>Table1[[#This Row],[id2]]&amp;Table1[[#This Row],[name4]]</f>
        <v>ec979e5e-270f-41dd-9ea4-de77431a423aCost</v>
      </c>
      <c r="O64" s="4" t="str">
        <f>IF(Table1[[#This Row],[value]]="","",Table1[[#This Row],[value]])</f>
        <v>1</v>
      </c>
      <c r="P64" s="4" t="str">
        <f>Table1[[#This Row],[id2]]&amp;Table1[[#This Row],[name6]]</f>
        <v>ec979e5e-270f-41dd-9ea4-de77431a423a</v>
      </c>
      <c r="Q64" s="4" t="str">
        <f>IF(Table1[[#This Row],[value7]]="","",Table1[[#This Row],[value7]])</f>
        <v/>
      </c>
    </row>
    <row r="65" spans="1:17" x14ac:dyDescent="0.25">
      <c r="A65" s="1" t="s">
        <v>115</v>
      </c>
      <c r="B65" s="1" t="s">
        <v>80</v>
      </c>
      <c r="C65" s="1" t="s">
        <v>13</v>
      </c>
      <c r="D65" s="1" t="s">
        <v>56</v>
      </c>
      <c r="E65" s="1" t="s">
        <v>79</v>
      </c>
      <c r="F65" s="1" t="s">
        <v>82</v>
      </c>
      <c r="G65" s="1" t="s">
        <v>87</v>
      </c>
      <c r="H65" s="1" t="s">
        <v>25</v>
      </c>
      <c r="I65" s="1" t="s">
        <v>97</v>
      </c>
      <c r="J65" s="1"/>
      <c r="K65" s="1"/>
      <c r="L65" s="1"/>
      <c r="M65" s="2"/>
      <c r="N65" s="4" t="str">
        <f>Table1[[#This Row],[id2]]&amp;Table1[[#This Row],[name4]]</f>
        <v>ec979e5e-270f-41dd-9ea4-de77431a423aText</v>
      </c>
      <c r="O65" s="4" t="str">
        <f>IF(Table1[[#This Row],[value]]="","",Table1[[#This Row],[value]])</f>
        <v>Action: Discard a card from your hand to give attached hero +1 Ú or +1 Ò until the end of the phase. Limit 3 times per phase.</v>
      </c>
      <c r="P65" s="4" t="str">
        <f>Table1[[#This Row],[id2]]&amp;Table1[[#This Row],[name6]]</f>
        <v>ec979e5e-270f-41dd-9ea4-de77431a423a</v>
      </c>
      <c r="Q65" s="4" t="str">
        <f>IF(Table1[[#This Row],[value7]]="","",Table1[[#This Row],[value7]])</f>
        <v/>
      </c>
    </row>
    <row r="66" spans="1:17" x14ac:dyDescent="0.25">
      <c r="A66" s="1" t="s">
        <v>115</v>
      </c>
      <c r="B66" s="1" t="s">
        <v>80</v>
      </c>
      <c r="C66" s="1" t="s">
        <v>13</v>
      </c>
      <c r="D66" s="1" t="s">
        <v>56</v>
      </c>
      <c r="E66" s="1" t="s">
        <v>79</v>
      </c>
      <c r="F66" s="1" t="s">
        <v>83</v>
      </c>
      <c r="G66" s="1" t="s">
        <v>88</v>
      </c>
      <c r="H66" s="1" t="s">
        <v>31</v>
      </c>
      <c r="I66" s="1" t="s">
        <v>38</v>
      </c>
      <c r="J66" s="1"/>
      <c r="K66" s="1"/>
      <c r="L66" s="1"/>
      <c r="M66" s="2"/>
      <c r="N66" s="4" t="str">
        <f>Table1[[#This Row],[id2]]&amp;Table1[[#This Row],[name4]]</f>
        <v>13c9bc79-dee5-47a6-8649-ddff6a753bf6Quantity</v>
      </c>
      <c r="O66" s="4" t="str">
        <f>IF(Table1[[#This Row],[value]]="","",Table1[[#This Row],[value]])</f>
        <v>1</v>
      </c>
      <c r="P66" s="4" t="str">
        <f>Table1[[#This Row],[id2]]&amp;Table1[[#This Row],[name6]]</f>
        <v>13c9bc79-dee5-47a6-8649-ddff6a753bf6</v>
      </c>
      <c r="Q66" s="4" t="str">
        <f>IF(Table1[[#This Row],[value7]]="","",Table1[[#This Row],[value7]])</f>
        <v/>
      </c>
    </row>
    <row r="67" spans="1:17" x14ac:dyDescent="0.25">
      <c r="A67" s="1" t="s">
        <v>115</v>
      </c>
      <c r="B67" s="1" t="s">
        <v>80</v>
      </c>
      <c r="C67" s="1" t="s">
        <v>13</v>
      </c>
      <c r="D67" s="1" t="s">
        <v>56</v>
      </c>
      <c r="E67" s="1" t="s">
        <v>79</v>
      </c>
      <c r="F67" s="1" t="s">
        <v>83</v>
      </c>
      <c r="G67" s="1" t="s">
        <v>88</v>
      </c>
      <c r="H67" s="1" t="s">
        <v>30</v>
      </c>
      <c r="I67" s="1" t="s">
        <v>103</v>
      </c>
      <c r="J67" s="1"/>
      <c r="K67" s="1"/>
      <c r="L67" s="1"/>
      <c r="M67" s="2"/>
      <c r="N67" s="4" t="str">
        <f>Table1[[#This Row],[id2]]&amp;Table1[[#This Row],[name4]]</f>
        <v>13c9bc79-dee5-47a6-8649-ddff6a753bf6Encounter Set</v>
      </c>
      <c r="O67" s="4" t="str">
        <f>IF(Table1[[#This Row],[value]]="","",Table1[[#This Row],[value]])</f>
        <v>Spiders of Mirkwood</v>
      </c>
      <c r="P67" s="4" t="str">
        <f>Table1[[#This Row],[id2]]&amp;Table1[[#This Row],[name6]]</f>
        <v>13c9bc79-dee5-47a6-8649-ddff6a753bf6</v>
      </c>
      <c r="Q67" s="4" t="str">
        <f>IF(Table1[[#This Row],[value7]]="","",Table1[[#This Row],[value7]])</f>
        <v/>
      </c>
    </row>
    <row r="68" spans="1:17" x14ac:dyDescent="0.25">
      <c r="A68" s="1" t="s">
        <v>115</v>
      </c>
      <c r="B68" s="1" t="s">
        <v>80</v>
      </c>
      <c r="C68" s="1" t="s">
        <v>13</v>
      </c>
      <c r="D68" s="1" t="s">
        <v>56</v>
      </c>
      <c r="E68" s="1" t="s">
        <v>79</v>
      </c>
      <c r="F68" s="1" t="s">
        <v>83</v>
      </c>
      <c r="G68" s="1" t="s">
        <v>88</v>
      </c>
      <c r="H68" s="1" t="s">
        <v>14</v>
      </c>
      <c r="I68" s="1" t="s">
        <v>42</v>
      </c>
      <c r="J68" s="1"/>
      <c r="K68" s="1"/>
      <c r="L68" s="1"/>
      <c r="M68" s="2"/>
      <c r="N68" s="4" t="str">
        <f>Table1[[#This Row],[id2]]&amp;Table1[[#This Row],[name4]]</f>
        <v>13c9bc79-dee5-47a6-8649-ddff6a753bf6Type</v>
      </c>
      <c r="O68" s="4" t="str">
        <f>IF(Table1[[#This Row],[value]]="","",Table1[[#This Row],[value]])</f>
        <v>Enemy</v>
      </c>
      <c r="P68" s="4" t="str">
        <f>Table1[[#This Row],[id2]]&amp;Table1[[#This Row],[name6]]</f>
        <v>13c9bc79-dee5-47a6-8649-ddff6a753bf6</v>
      </c>
      <c r="Q68" s="4" t="str">
        <f>IF(Table1[[#This Row],[value7]]="","",Table1[[#This Row],[value7]])</f>
        <v/>
      </c>
    </row>
    <row r="69" spans="1:17" x14ac:dyDescent="0.25">
      <c r="A69" s="1" t="s">
        <v>115</v>
      </c>
      <c r="B69" s="1" t="s">
        <v>80</v>
      </c>
      <c r="C69" s="1" t="s">
        <v>13</v>
      </c>
      <c r="D69" s="1" t="s">
        <v>56</v>
      </c>
      <c r="E69" s="1" t="s">
        <v>79</v>
      </c>
      <c r="F69" s="1" t="s">
        <v>83</v>
      </c>
      <c r="G69" s="1" t="s">
        <v>88</v>
      </c>
      <c r="H69" s="1" t="s">
        <v>24</v>
      </c>
      <c r="I69" s="1" t="s">
        <v>98</v>
      </c>
      <c r="J69" s="1"/>
      <c r="K69" s="1"/>
      <c r="L69" s="1"/>
      <c r="M69" s="2"/>
      <c r="N69" s="4" t="str">
        <f>Table1[[#This Row],[id2]]&amp;Table1[[#This Row],[name4]]</f>
        <v>13c9bc79-dee5-47a6-8649-ddff6a753bf6Traits</v>
      </c>
      <c r="O69" s="4" t="str">
        <f>IF(Table1[[#This Row],[value]]="","",Table1[[#This Row],[value]])</f>
        <v>Creature. Spider.</v>
      </c>
      <c r="P69" s="4" t="str">
        <f>Table1[[#This Row],[id2]]&amp;Table1[[#This Row],[name6]]</f>
        <v>13c9bc79-dee5-47a6-8649-ddff6a753bf6</v>
      </c>
      <c r="Q69" s="4" t="str">
        <f>IF(Table1[[#This Row],[value7]]="","",Table1[[#This Row],[value7]])</f>
        <v/>
      </c>
    </row>
    <row r="70" spans="1:17" x14ac:dyDescent="0.25">
      <c r="A70" s="1" t="s">
        <v>115</v>
      </c>
      <c r="B70" s="1" t="s">
        <v>80</v>
      </c>
      <c r="C70" s="1" t="s">
        <v>13</v>
      </c>
      <c r="D70" s="1" t="s">
        <v>56</v>
      </c>
      <c r="E70" s="1" t="s">
        <v>79</v>
      </c>
      <c r="F70" s="1" t="s">
        <v>83</v>
      </c>
      <c r="G70" s="1" t="s">
        <v>88</v>
      </c>
      <c r="H70" s="1" t="s">
        <v>17</v>
      </c>
      <c r="I70" s="1" t="s">
        <v>99</v>
      </c>
      <c r="J70" s="1"/>
      <c r="K70" s="1"/>
      <c r="L70" s="1"/>
      <c r="M70" s="2"/>
      <c r="N70" s="4" t="str">
        <f>Table1[[#This Row],[id2]]&amp;Table1[[#This Row],[name4]]</f>
        <v>13c9bc79-dee5-47a6-8649-ddff6a753bf6Engagement Cost</v>
      </c>
      <c r="O70" s="4" t="str">
        <f>IF(Table1[[#This Row],[value]]="","",Table1[[#This Row],[value]])</f>
        <v>32</v>
      </c>
      <c r="P70" s="4" t="str">
        <f>Table1[[#This Row],[id2]]&amp;Table1[[#This Row],[name6]]</f>
        <v>13c9bc79-dee5-47a6-8649-ddff6a753bf6</v>
      </c>
      <c r="Q70" s="4" t="str">
        <f>IF(Table1[[#This Row],[value7]]="","",Table1[[#This Row],[value7]])</f>
        <v/>
      </c>
    </row>
    <row r="71" spans="1:17" x14ac:dyDescent="0.25">
      <c r="A71" s="1" t="s">
        <v>115</v>
      </c>
      <c r="B71" s="1" t="s">
        <v>80</v>
      </c>
      <c r="C71" s="1" t="s">
        <v>13</v>
      </c>
      <c r="D71" s="1" t="s">
        <v>56</v>
      </c>
      <c r="E71" s="1" t="s">
        <v>79</v>
      </c>
      <c r="F71" s="1" t="s">
        <v>83</v>
      </c>
      <c r="G71" s="1" t="s">
        <v>88</v>
      </c>
      <c r="H71" s="1" t="s">
        <v>28</v>
      </c>
      <c r="I71" s="1" t="s">
        <v>36</v>
      </c>
      <c r="J71" s="1"/>
      <c r="K71" s="1"/>
      <c r="L71" s="1"/>
      <c r="M71" s="2"/>
      <c r="N71" s="4" t="str">
        <f>Table1[[#This Row],[id2]]&amp;Table1[[#This Row],[name4]]</f>
        <v>13c9bc79-dee5-47a6-8649-ddff6a753bf6Threat</v>
      </c>
      <c r="O71" s="4" t="str">
        <f>IF(Table1[[#This Row],[value]]="","",Table1[[#This Row],[value]])</f>
        <v>3</v>
      </c>
      <c r="P71" s="4" t="str">
        <f>Table1[[#This Row],[id2]]&amp;Table1[[#This Row],[name6]]</f>
        <v>13c9bc79-dee5-47a6-8649-ddff6a753bf6</v>
      </c>
      <c r="Q71" s="4" t="str">
        <f>IF(Table1[[#This Row],[value7]]="","",Table1[[#This Row],[value7]])</f>
        <v/>
      </c>
    </row>
    <row r="72" spans="1:17" x14ac:dyDescent="0.25">
      <c r="A72" s="1" t="s">
        <v>115</v>
      </c>
      <c r="B72" s="1" t="s">
        <v>80</v>
      </c>
      <c r="C72" s="1" t="s">
        <v>13</v>
      </c>
      <c r="D72" s="1" t="s">
        <v>56</v>
      </c>
      <c r="E72" s="1" t="s">
        <v>79</v>
      </c>
      <c r="F72" s="1" t="s">
        <v>83</v>
      </c>
      <c r="G72" s="1" t="s">
        <v>88</v>
      </c>
      <c r="H72" s="1" t="s">
        <v>20</v>
      </c>
      <c r="I72" s="1" t="s">
        <v>40</v>
      </c>
      <c r="J72" s="1"/>
      <c r="K72" s="1"/>
      <c r="L72" s="1"/>
      <c r="M72" s="2"/>
      <c r="N72" s="4" t="str">
        <f>Table1[[#This Row],[id2]]&amp;Table1[[#This Row],[name4]]</f>
        <v>13c9bc79-dee5-47a6-8649-ddff6a753bf6Attack</v>
      </c>
      <c r="O72" s="4" t="str">
        <f>IF(Table1[[#This Row],[value]]="","",Table1[[#This Row],[value]])</f>
        <v>5</v>
      </c>
      <c r="P72" s="4" t="str">
        <f>Table1[[#This Row],[id2]]&amp;Table1[[#This Row],[name6]]</f>
        <v>13c9bc79-dee5-47a6-8649-ddff6a753bf6</v>
      </c>
      <c r="Q72" s="4" t="str">
        <f>IF(Table1[[#This Row],[value7]]="","",Table1[[#This Row],[value7]])</f>
        <v/>
      </c>
    </row>
    <row r="73" spans="1:17" x14ac:dyDescent="0.25">
      <c r="A73" s="1" t="s">
        <v>115</v>
      </c>
      <c r="B73" s="1" t="s">
        <v>80</v>
      </c>
      <c r="C73" s="1" t="s">
        <v>13</v>
      </c>
      <c r="D73" s="1" t="s">
        <v>56</v>
      </c>
      <c r="E73" s="1" t="s">
        <v>79</v>
      </c>
      <c r="F73" s="1" t="s">
        <v>83</v>
      </c>
      <c r="G73" s="1" t="s">
        <v>88</v>
      </c>
      <c r="H73" s="1" t="s">
        <v>21</v>
      </c>
      <c r="I73" s="1" t="s">
        <v>37</v>
      </c>
      <c r="J73" s="1"/>
      <c r="K73" s="1"/>
      <c r="L73" s="1"/>
      <c r="M73" s="2"/>
      <c r="N73" s="4" t="str">
        <f>Table1[[#This Row],[id2]]&amp;Table1[[#This Row],[name4]]</f>
        <v>13c9bc79-dee5-47a6-8649-ddff6a753bf6Defense</v>
      </c>
      <c r="O73" s="4" t="str">
        <f>IF(Table1[[#This Row],[value]]="","",Table1[[#This Row],[value]])</f>
        <v>2</v>
      </c>
      <c r="P73" s="4" t="str">
        <f>Table1[[#This Row],[id2]]&amp;Table1[[#This Row],[name6]]</f>
        <v>13c9bc79-dee5-47a6-8649-ddff6a753bf6</v>
      </c>
      <c r="Q73" s="4" t="str">
        <f>IF(Table1[[#This Row],[value7]]="","",Table1[[#This Row],[value7]])</f>
        <v/>
      </c>
    </row>
    <row r="74" spans="1:17" x14ac:dyDescent="0.25">
      <c r="A74" s="1" t="s">
        <v>115</v>
      </c>
      <c r="B74" s="1" t="s">
        <v>80</v>
      </c>
      <c r="C74" s="1" t="s">
        <v>13</v>
      </c>
      <c r="D74" s="1" t="s">
        <v>56</v>
      </c>
      <c r="E74" s="1" t="s">
        <v>79</v>
      </c>
      <c r="F74" s="1" t="s">
        <v>83</v>
      </c>
      <c r="G74" s="1" t="s">
        <v>88</v>
      </c>
      <c r="H74" s="1" t="s">
        <v>23</v>
      </c>
      <c r="I74" s="1" t="s">
        <v>100</v>
      </c>
      <c r="J74" s="1"/>
      <c r="K74" s="1"/>
      <c r="L74" s="1"/>
      <c r="M74" s="2"/>
      <c r="N74" s="4" t="str">
        <f>Table1[[#This Row],[id2]]&amp;Table1[[#This Row],[name4]]</f>
        <v>13c9bc79-dee5-47a6-8649-ddff6a753bf6Health</v>
      </c>
      <c r="O74" s="4" t="str">
        <f>IF(Table1[[#This Row],[value]]="","",Table1[[#This Row],[value]])</f>
        <v>9</v>
      </c>
      <c r="P74" s="4" t="str">
        <f>Table1[[#This Row],[id2]]&amp;Table1[[#This Row],[name6]]</f>
        <v>13c9bc79-dee5-47a6-8649-ddff6a753bf6</v>
      </c>
      <c r="Q74" s="4" t="str">
        <f>IF(Table1[[#This Row],[value7]]="","",Table1[[#This Row],[value7]])</f>
        <v/>
      </c>
    </row>
    <row r="75" spans="1:17" x14ac:dyDescent="0.25">
      <c r="A75" s="1" t="s">
        <v>115</v>
      </c>
      <c r="B75" s="1" t="s">
        <v>80</v>
      </c>
      <c r="C75" s="1" t="s">
        <v>13</v>
      </c>
      <c r="D75" s="1" t="s">
        <v>56</v>
      </c>
      <c r="E75" s="1" t="s">
        <v>79</v>
      </c>
      <c r="F75" s="1" t="s">
        <v>83</v>
      </c>
      <c r="G75" s="1" t="s">
        <v>88</v>
      </c>
      <c r="H75" s="1" t="s">
        <v>25</v>
      </c>
      <c r="I75" s="1" t="s">
        <v>101</v>
      </c>
      <c r="J75" s="1"/>
      <c r="K75" s="1"/>
      <c r="L75" s="1"/>
      <c r="M75" s="2"/>
      <c r="N75" s="4" t="str">
        <f>Table1[[#This Row],[id2]]&amp;Table1[[#This Row],[name4]]</f>
        <v>13c9bc79-dee5-47a6-8649-ddff6a753bf6Text</v>
      </c>
      <c r="O75" s="4" t="str">
        <f>IF(Table1[[#This Row],[value]]="","",Table1[[#This Row],[value]])</f>
        <v>When Revealed: Each character currently committed to a quest gets -1 Ò until the end of the phase.</v>
      </c>
      <c r="P75" s="4" t="str">
        <f>Table1[[#This Row],[id2]]&amp;Table1[[#This Row],[name6]]</f>
        <v>13c9bc79-dee5-47a6-8649-ddff6a753bf6</v>
      </c>
      <c r="Q75" s="4" t="str">
        <f>IF(Table1[[#This Row],[value7]]="","",Table1[[#This Row],[value7]])</f>
        <v/>
      </c>
    </row>
    <row r="76" spans="1:17" x14ac:dyDescent="0.25">
      <c r="A76" s="1" t="s">
        <v>115</v>
      </c>
      <c r="B76" s="1" t="s">
        <v>80</v>
      </c>
      <c r="C76" s="1" t="s">
        <v>13</v>
      </c>
      <c r="D76" s="1" t="s">
        <v>56</v>
      </c>
      <c r="E76" s="1" t="s">
        <v>79</v>
      </c>
      <c r="F76" s="1" t="s">
        <v>83</v>
      </c>
      <c r="G76" s="1" t="s">
        <v>88</v>
      </c>
      <c r="H76" s="1" t="s">
        <v>26</v>
      </c>
      <c r="I76" s="1" t="s">
        <v>102</v>
      </c>
      <c r="J76" s="1"/>
      <c r="K76" s="1"/>
      <c r="L76" s="1"/>
      <c r="M76" s="2"/>
      <c r="N76" s="4" t="str">
        <f>Table1[[#This Row],[id2]]&amp;Table1[[#This Row],[name4]]</f>
        <v>13c9bc79-dee5-47a6-8649-ddff6a753bf6Shadow</v>
      </c>
      <c r="O76" s="4" t="str">
        <f>IF(Table1[[#This Row],[value]]="","",Table1[[#This Row],[value]])</f>
        <v>Shadow: Raise defending player's threat by 4. (Raise defending player's threat by 8 instead if this attack is undefended.)</v>
      </c>
      <c r="P76" s="4" t="str">
        <f>Table1[[#This Row],[id2]]&amp;Table1[[#This Row],[name6]]</f>
        <v>13c9bc79-dee5-47a6-8649-ddff6a753bf6</v>
      </c>
      <c r="Q76" s="4" t="str">
        <f>IF(Table1[[#This Row],[value7]]="","",Table1[[#This Row],[value7]])</f>
        <v/>
      </c>
    </row>
    <row r="77" spans="1:17" x14ac:dyDescent="0.25">
      <c r="A77" s="1" t="s">
        <v>115</v>
      </c>
      <c r="B77" s="1" t="s">
        <v>80</v>
      </c>
      <c r="C77" s="1" t="s">
        <v>13</v>
      </c>
      <c r="D77" s="1" t="s">
        <v>56</v>
      </c>
      <c r="E77" s="1" t="s">
        <v>79</v>
      </c>
      <c r="F77" s="1" t="s">
        <v>84</v>
      </c>
      <c r="G77" s="1" t="s">
        <v>89</v>
      </c>
      <c r="H77" s="1" t="s">
        <v>31</v>
      </c>
      <c r="I77" s="1" t="s">
        <v>37</v>
      </c>
      <c r="J77" s="1"/>
      <c r="K77" s="1"/>
      <c r="L77" s="1"/>
      <c r="M77" s="2"/>
      <c r="N77" s="4" t="str">
        <f>Table1[[#This Row],[id2]]&amp;Table1[[#This Row],[name4]]</f>
        <v>bff0cd7a-8fe5-4d18-91e9-d3dbf885b01cQuantity</v>
      </c>
      <c r="O77" s="4" t="str">
        <f>IF(Table1[[#This Row],[value]]="","",Table1[[#This Row],[value]])</f>
        <v>2</v>
      </c>
      <c r="P77" s="4" t="str">
        <f>Table1[[#This Row],[id2]]&amp;Table1[[#This Row],[name6]]</f>
        <v>bff0cd7a-8fe5-4d18-91e9-d3dbf885b01c</v>
      </c>
      <c r="Q77" s="4" t="str">
        <f>IF(Table1[[#This Row],[value7]]="","",Table1[[#This Row],[value7]])</f>
        <v/>
      </c>
    </row>
    <row r="78" spans="1:17" x14ac:dyDescent="0.25">
      <c r="A78" s="1" t="s">
        <v>115</v>
      </c>
      <c r="B78" s="1" t="s">
        <v>80</v>
      </c>
      <c r="C78" s="1" t="s">
        <v>13</v>
      </c>
      <c r="D78" s="1" t="s">
        <v>56</v>
      </c>
      <c r="E78" s="1" t="s">
        <v>79</v>
      </c>
      <c r="F78" s="1" t="s">
        <v>84</v>
      </c>
      <c r="G78" s="1" t="s">
        <v>89</v>
      </c>
      <c r="H78" s="1" t="s">
        <v>30</v>
      </c>
      <c r="I78" s="1" t="s">
        <v>103</v>
      </c>
      <c r="J78" s="1"/>
      <c r="K78" s="1"/>
      <c r="L78" s="1"/>
      <c r="M78" s="2"/>
      <c r="N78" s="4" t="str">
        <f>Table1[[#This Row],[id2]]&amp;Table1[[#This Row],[name4]]</f>
        <v>bff0cd7a-8fe5-4d18-91e9-d3dbf885b01cEncounter Set</v>
      </c>
      <c r="O78" s="4" t="str">
        <f>IF(Table1[[#This Row],[value]]="","",Table1[[#This Row],[value]])</f>
        <v>Spiders of Mirkwood</v>
      </c>
      <c r="P78" s="4" t="str">
        <f>Table1[[#This Row],[id2]]&amp;Table1[[#This Row],[name6]]</f>
        <v>bff0cd7a-8fe5-4d18-91e9-d3dbf885b01c</v>
      </c>
      <c r="Q78" s="4" t="str">
        <f>IF(Table1[[#This Row],[value7]]="","",Table1[[#This Row],[value7]])</f>
        <v/>
      </c>
    </row>
    <row r="79" spans="1:17" x14ac:dyDescent="0.25">
      <c r="A79" s="1" t="s">
        <v>115</v>
      </c>
      <c r="B79" s="1" t="s">
        <v>80</v>
      </c>
      <c r="C79" s="1" t="s">
        <v>13</v>
      </c>
      <c r="D79" s="1" t="s">
        <v>56</v>
      </c>
      <c r="E79" s="1" t="s">
        <v>79</v>
      </c>
      <c r="F79" s="1" t="s">
        <v>84</v>
      </c>
      <c r="G79" s="1" t="s">
        <v>89</v>
      </c>
      <c r="H79" s="1" t="s">
        <v>14</v>
      </c>
      <c r="I79" s="1" t="s">
        <v>43</v>
      </c>
      <c r="J79" s="1"/>
      <c r="K79" s="1"/>
      <c r="L79" s="1"/>
      <c r="M79" s="2"/>
      <c r="N79" s="4" t="str">
        <f>Table1[[#This Row],[id2]]&amp;Table1[[#This Row],[name4]]</f>
        <v>bff0cd7a-8fe5-4d18-91e9-d3dbf885b01cType</v>
      </c>
      <c r="O79" s="4" t="str">
        <f>IF(Table1[[#This Row],[value]]="","",Table1[[#This Row],[value]])</f>
        <v>Location</v>
      </c>
      <c r="P79" s="4" t="str">
        <f>Table1[[#This Row],[id2]]&amp;Table1[[#This Row],[name6]]</f>
        <v>bff0cd7a-8fe5-4d18-91e9-d3dbf885b01c</v>
      </c>
      <c r="Q79" s="4" t="str">
        <f>IF(Table1[[#This Row],[value7]]="","",Table1[[#This Row],[value7]])</f>
        <v/>
      </c>
    </row>
    <row r="80" spans="1:17" x14ac:dyDescent="0.25">
      <c r="A80" s="1" t="s">
        <v>115</v>
      </c>
      <c r="B80" s="1" t="s">
        <v>80</v>
      </c>
      <c r="C80" s="1" t="s">
        <v>13</v>
      </c>
      <c r="D80" s="1" t="s">
        <v>56</v>
      </c>
      <c r="E80" s="1" t="s">
        <v>79</v>
      </c>
      <c r="F80" s="1" t="s">
        <v>84</v>
      </c>
      <c r="G80" s="1" t="s">
        <v>89</v>
      </c>
      <c r="H80" s="1" t="s">
        <v>24</v>
      </c>
      <c r="I80" s="1" t="s">
        <v>104</v>
      </c>
      <c r="J80" s="1"/>
      <c r="K80" s="1"/>
      <c r="L80" s="1"/>
      <c r="M80" s="2"/>
      <c r="N80" s="4" t="str">
        <f>Table1[[#This Row],[id2]]&amp;Table1[[#This Row],[name4]]</f>
        <v>bff0cd7a-8fe5-4d18-91e9-d3dbf885b01cTraits</v>
      </c>
      <c r="O80" s="4" t="str">
        <f>IF(Table1[[#This Row],[value]]="","",Table1[[#This Row],[value]])</f>
        <v>Forest.</v>
      </c>
      <c r="P80" s="4" t="str">
        <f>Table1[[#This Row],[id2]]&amp;Table1[[#This Row],[name6]]</f>
        <v>bff0cd7a-8fe5-4d18-91e9-d3dbf885b01c</v>
      </c>
      <c r="Q80" s="4" t="str">
        <f>IF(Table1[[#This Row],[value7]]="","",Table1[[#This Row],[value7]])</f>
        <v/>
      </c>
    </row>
    <row r="81" spans="1:17" x14ac:dyDescent="0.25">
      <c r="A81" s="1" t="s">
        <v>115</v>
      </c>
      <c r="B81" s="1" t="s">
        <v>80</v>
      </c>
      <c r="C81" s="1" t="s">
        <v>13</v>
      </c>
      <c r="D81" s="1" t="s">
        <v>56</v>
      </c>
      <c r="E81" s="1" t="s">
        <v>79</v>
      </c>
      <c r="F81" s="1" t="s">
        <v>84</v>
      </c>
      <c r="G81" s="1" t="s">
        <v>89</v>
      </c>
      <c r="H81" s="1" t="s">
        <v>28</v>
      </c>
      <c r="I81" s="1" t="s">
        <v>37</v>
      </c>
      <c r="J81" s="1"/>
      <c r="K81" s="1"/>
      <c r="L81" s="1"/>
      <c r="M81" s="2"/>
      <c r="N81" s="4" t="str">
        <f>Table1[[#This Row],[id2]]&amp;Table1[[#This Row],[name4]]</f>
        <v>bff0cd7a-8fe5-4d18-91e9-d3dbf885b01cThreat</v>
      </c>
      <c r="O81" s="4" t="str">
        <f>IF(Table1[[#This Row],[value]]="","",Table1[[#This Row],[value]])</f>
        <v>2</v>
      </c>
      <c r="P81" s="4" t="str">
        <f>Table1[[#This Row],[id2]]&amp;Table1[[#This Row],[name6]]</f>
        <v>bff0cd7a-8fe5-4d18-91e9-d3dbf885b01c</v>
      </c>
      <c r="Q81" s="4" t="str">
        <f>IF(Table1[[#This Row],[value7]]="","",Table1[[#This Row],[value7]])</f>
        <v/>
      </c>
    </row>
    <row r="82" spans="1:17" x14ac:dyDescent="0.25">
      <c r="A82" s="1" t="s">
        <v>115</v>
      </c>
      <c r="B82" s="1" t="s">
        <v>80</v>
      </c>
      <c r="C82" s="1" t="s">
        <v>13</v>
      </c>
      <c r="D82" s="1" t="s">
        <v>56</v>
      </c>
      <c r="E82" s="1" t="s">
        <v>79</v>
      </c>
      <c r="F82" s="1" t="s">
        <v>84</v>
      </c>
      <c r="G82" s="1" t="s">
        <v>89</v>
      </c>
      <c r="H82" s="1" t="s">
        <v>29</v>
      </c>
      <c r="I82" s="1" t="s">
        <v>37</v>
      </c>
      <c r="J82" s="1"/>
      <c r="K82" s="1"/>
      <c r="L82" s="1"/>
      <c r="M82" s="2"/>
      <c r="N82" s="4" t="str">
        <f>Table1[[#This Row],[id2]]&amp;Table1[[#This Row],[name4]]</f>
        <v>bff0cd7a-8fe5-4d18-91e9-d3dbf885b01cQuest Points</v>
      </c>
      <c r="O82" s="4" t="str">
        <f>IF(Table1[[#This Row],[value]]="","",Table1[[#This Row],[value]])</f>
        <v>2</v>
      </c>
      <c r="P82" s="4" t="str">
        <f>Table1[[#This Row],[id2]]&amp;Table1[[#This Row],[name6]]</f>
        <v>bff0cd7a-8fe5-4d18-91e9-d3dbf885b01c</v>
      </c>
      <c r="Q82" s="4" t="str">
        <f>IF(Table1[[#This Row],[value7]]="","",Table1[[#This Row],[value7]])</f>
        <v/>
      </c>
    </row>
    <row r="83" spans="1:17" x14ac:dyDescent="0.25">
      <c r="A83" s="1" t="s">
        <v>115</v>
      </c>
      <c r="B83" s="1" t="s">
        <v>80</v>
      </c>
      <c r="C83" s="1" t="s">
        <v>13</v>
      </c>
      <c r="D83" s="1" t="s">
        <v>56</v>
      </c>
      <c r="E83" s="1" t="s">
        <v>79</v>
      </c>
      <c r="F83" s="1" t="s">
        <v>84</v>
      </c>
      <c r="G83" s="1" t="s">
        <v>89</v>
      </c>
      <c r="H83" s="1" t="s">
        <v>25</v>
      </c>
      <c r="I83" s="1" t="s">
        <v>105</v>
      </c>
      <c r="J83" s="1"/>
      <c r="K83" s="1"/>
      <c r="L83" s="1"/>
      <c r="M83" s="2"/>
      <c r="N83" s="4" t="str">
        <f>Table1[[#This Row],[id2]]&amp;Table1[[#This Row],[name4]]</f>
        <v>bff0cd7a-8fe5-4d18-91e9-d3dbf885b01cText</v>
      </c>
      <c r="O83" s="4" t="str">
        <f>IF(Table1[[#This Row],[value]]="","",Table1[[#This Row],[value]])</f>
        <v>Travel: Each player must exhaust 1 hero he controls to travel here.</v>
      </c>
      <c r="P83" s="4" t="str">
        <f>Table1[[#This Row],[id2]]&amp;Table1[[#This Row],[name6]]</f>
        <v>bff0cd7a-8fe5-4d18-91e9-d3dbf885b01c</v>
      </c>
      <c r="Q83" s="4" t="str">
        <f>IF(Table1[[#This Row],[value7]]="","",Table1[[#This Row],[value7]])</f>
        <v/>
      </c>
    </row>
    <row r="84" spans="1:17" x14ac:dyDescent="0.25">
      <c r="A84" s="1" t="s">
        <v>115</v>
      </c>
      <c r="B84" s="1" t="s">
        <v>80</v>
      </c>
      <c r="C84" s="1" t="s">
        <v>13</v>
      </c>
      <c r="D84" s="1" t="s">
        <v>56</v>
      </c>
      <c r="E84" s="1" t="s">
        <v>79</v>
      </c>
      <c r="F84" s="1" t="s">
        <v>85</v>
      </c>
      <c r="G84" s="1" t="s">
        <v>90</v>
      </c>
      <c r="H84" s="1" t="s">
        <v>31</v>
      </c>
      <c r="I84" s="1" t="s">
        <v>38</v>
      </c>
      <c r="J84" s="1"/>
      <c r="K84" s="1"/>
      <c r="L84" s="1"/>
      <c r="M84" s="2"/>
      <c r="N84" s="4" t="str">
        <f>Table1[[#This Row],[id2]]&amp;Table1[[#This Row],[name4]]</f>
        <v>86a8cb61-a4d2-40f7-82a7-adfe5a835acdQuantity</v>
      </c>
      <c r="O84" s="4" t="str">
        <f>IF(Table1[[#This Row],[value]]="","",Table1[[#This Row],[value]])</f>
        <v>1</v>
      </c>
      <c r="P84" s="4" t="str">
        <f>Table1[[#This Row],[id2]]&amp;Table1[[#This Row],[name6]]</f>
        <v>86a8cb61-a4d2-40f7-82a7-adfe5a835acd</v>
      </c>
      <c r="Q84" s="4" t="str">
        <f>IF(Table1[[#This Row],[value7]]="","",Table1[[#This Row],[value7]])</f>
        <v/>
      </c>
    </row>
    <row r="85" spans="1:17" x14ac:dyDescent="0.25">
      <c r="A85" s="1" t="s">
        <v>115</v>
      </c>
      <c r="B85" s="1" t="s">
        <v>80</v>
      </c>
      <c r="C85" s="1" t="s">
        <v>13</v>
      </c>
      <c r="D85" s="1" t="s">
        <v>56</v>
      </c>
      <c r="E85" s="1" t="s">
        <v>79</v>
      </c>
      <c r="F85" s="1" t="s">
        <v>85</v>
      </c>
      <c r="G85" s="1" t="s">
        <v>90</v>
      </c>
      <c r="H85" s="1" t="s">
        <v>30</v>
      </c>
      <c r="I85" s="1" t="s">
        <v>107</v>
      </c>
      <c r="J85" s="1"/>
      <c r="K85" s="1"/>
      <c r="L85" s="1"/>
      <c r="M85" s="2"/>
      <c r="N85" s="4" t="str">
        <f>Table1[[#This Row],[id2]]&amp;Table1[[#This Row],[name4]]</f>
        <v>86a8cb61-a4d2-40f7-82a7-adfe5a835acdEncounter Set</v>
      </c>
      <c r="O85" s="4" t="str">
        <f>IF(Table1[[#This Row],[value]]="","",Table1[[#This Row],[value]])</f>
        <v>Escape from Dol Guldur</v>
      </c>
      <c r="P85" s="4" t="str">
        <f>Table1[[#This Row],[id2]]&amp;Table1[[#This Row],[name6]]</f>
        <v>86a8cb61-a4d2-40f7-82a7-adfe5a835acd</v>
      </c>
      <c r="Q85" s="4" t="str">
        <f>IF(Table1[[#This Row],[value7]]="","",Table1[[#This Row],[value7]])</f>
        <v/>
      </c>
    </row>
    <row r="86" spans="1:17" x14ac:dyDescent="0.25">
      <c r="A86" s="1" t="s">
        <v>115</v>
      </c>
      <c r="B86" s="1" t="s">
        <v>80</v>
      </c>
      <c r="C86" s="1" t="s">
        <v>13</v>
      </c>
      <c r="D86" s="1" t="s">
        <v>56</v>
      </c>
      <c r="E86" s="1" t="s">
        <v>79</v>
      </c>
      <c r="F86" s="1" t="s">
        <v>85</v>
      </c>
      <c r="G86" s="1" t="s">
        <v>90</v>
      </c>
      <c r="H86" s="1" t="s">
        <v>14</v>
      </c>
      <c r="I86" s="1" t="s">
        <v>44</v>
      </c>
      <c r="J86" s="1"/>
      <c r="K86" s="1"/>
      <c r="L86" s="1"/>
      <c r="M86" s="2"/>
      <c r="N86" s="4" t="str">
        <f>Table1[[#This Row],[id2]]&amp;Table1[[#This Row],[name4]]</f>
        <v>86a8cb61-a4d2-40f7-82a7-adfe5a835acdType</v>
      </c>
      <c r="O86" s="4" t="str">
        <f>IF(Table1[[#This Row],[value]]="","",Table1[[#This Row],[value]])</f>
        <v>Quest</v>
      </c>
      <c r="P86" s="4" t="str">
        <f>Table1[[#This Row],[id2]]&amp;Table1[[#This Row],[name6]]</f>
        <v>86a8cb61-a4d2-40f7-82a7-adfe5a835acd</v>
      </c>
      <c r="Q86" s="4" t="str">
        <f>IF(Table1[[#This Row],[value7]]="","",Table1[[#This Row],[value7]])</f>
        <v/>
      </c>
    </row>
    <row r="87" spans="1:17" x14ac:dyDescent="0.25">
      <c r="A87" s="1" t="s">
        <v>115</v>
      </c>
      <c r="B87" s="1" t="s">
        <v>80</v>
      </c>
      <c r="C87" s="1" t="s">
        <v>13</v>
      </c>
      <c r="D87" s="1" t="s">
        <v>56</v>
      </c>
      <c r="E87" s="1" t="s">
        <v>79</v>
      </c>
      <c r="F87" s="1" t="s">
        <v>85</v>
      </c>
      <c r="G87" s="1" t="s">
        <v>90</v>
      </c>
      <c r="H87" s="1" t="s">
        <v>25</v>
      </c>
      <c r="I87" s="1" t="s">
        <v>106</v>
      </c>
      <c r="J87" s="1"/>
      <c r="K87" s="1"/>
      <c r="L87" s="1"/>
      <c r="M87" s="2"/>
      <c r="N87" s="4" t="str">
        <f>Table1[[#This Row],[id2]]&amp;Table1[[#This Row],[name4]]</f>
        <v>86a8cb61-a4d2-40f7-82a7-adfe5a835acdText</v>
      </c>
      <c r="O87" s="4"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s="4" t="str">
        <f>Table1[[#This Row],[id2]]&amp;Table1[[#This Row],[name6]]</f>
        <v>86a8cb61-a4d2-40f7-82a7-adfe5a835acd</v>
      </c>
      <c r="Q87" s="4" t="str">
        <f>IF(Table1[[#This Row],[value7]]="","",Table1[[#This Row],[value7]])</f>
        <v/>
      </c>
    </row>
    <row r="88" spans="1:17" x14ac:dyDescent="0.25">
      <c r="A88" s="1" t="s">
        <v>115</v>
      </c>
      <c r="B88" s="1" t="s">
        <v>80</v>
      </c>
      <c r="C88" s="1" t="s">
        <v>13</v>
      </c>
      <c r="D88" s="1" t="s">
        <v>56</v>
      </c>
      <c r="E88" s="1" t="s">
        <v>79</v>
      </c>
      <c r="F88" s="1" t="s">
        <v>85</v>
      </c>
      <c r="G88" s="1" t="s">
        <v>90</v>
      </c>
      <c r="H88" s="1" t="s">
        <v>19</v>
      </c>
      <c r="I88" s="1" t="s">
        <v>108</v>
      </c>
      <c r="J88" s="1"/>
      <c r="K88" s="1"/>
      <c r="L88" s="1"/>
      <c r="M88" s="2"/>
      <c r="N88" s="4" t="str">
        <f>Table1[[#This Row],[id2]]&amp;Table1[[#This Row],[name4]]</f>
        <v>86a8cb61-a4d2-40f7-82a7-adfe5a835acdSetup</v>
      </c>
      <c r="O88" s="4" t="str">
        <f>IF(Table1[[#This Row],[value]]="","",Table1[[#This Row],[value]])</f>
        <v>ssst</v>
      </c>
      <c r="P88" s="4" t="str">
        <f>Table1[[#This Row],[id2]]&amp;Table1[[#This Row],[name6]]</f>
        <v>86a8cb61-a4d2-40f7-82a7-adfe5a835acd</v>
      </c>
      <c r="Q88" s="4" t="str">
        <f>IF(Table1[[#This Row],[value7]]="","",Table1[[#This Row],[value7]])</f>
        <v/>
      </c>
    </row>
    <row r="89" spans="1:17" x14ac:dyDescent="0.25">
      <c r="A89" s="1" t="s">
        <v>115</v>
      </c>
      <c r="B89" s="1" t="s">
        <v>80</v>
      </c>
      <c r="C89" s="1" t="s">
        <v>13</v>
      </c>
      <c r="D89" s="1" t="s">
        <v>56</v>
      </c>
      <c r="E89" s="1" t="s">
        <v>79</v>
      </c>
      <c r="F89" s="1" t="s">
        <v>85</v>
      </c>
      <c r="G89" s="1" t="s">
        <v>90</v>
      </c>
      <c r="H89" s="1"/>
      <c r="I89" s="1"/>
      <c r="J89" s="1" t="s">
        <v>109</v>
      </c>
      <c r="K89" s="1" t="s">
        <v>45</v>
      </c>
      <c r="L89" s="1" t="s">
        <v>14</v>
      </c>
      <c r="M89" s="2" t="s">
        <v>44</v>
      </c>
      <c r="N89" s="4" t="str">
        <f>Table1[[#This Row],[id2]]&amp;Table1[[#This Row],[name4]]</f>
        <v>86a8cb61-a4d2-40f7-82a7-adfe5a835acd</v>
      </c>
      <c r="O89" s="4" t="str">
        <f>IF(Table1[[#This Row],[value]]="","",Table1[[#This Row],[value]])</f>
        <v/>
      </c>
      <c r="P89" s="4" t="str">
        <f>Table1[[#This Row],[id2]]&amp;Table1[[#This Row],[name6]]</f>
        <v>86a8cb61-a4d2-40f7-82a7-adfe5a835acdType</v>
      </c>
      <c r="Q89" s="4" t="str">
        <f>IF(Table1[[#This Row],[value7]]="","",Table1[[#This Row],[value7]])</f>
        <v>Quest</v>
      </c>
    </row>
    <row r="90" spans="1:17" x14ac:dyDescent="0.25">
      <c r="A90" s="1" t="s">
        <v>115</v>
      </c>
      <c r="B90" s="1" t="s">
        <v>80</v>
      </c>
      <c r="C90" s="1" t="s">
        <v>13</v>
      </c>
      <c r="D90" s="1" t="s">
        <v>56</v>
      </c>
      <c r="E90" s="1" t="s">
        <v>79</v>
      </c>
      <c r="F90" s="1" t="s">
        <v>85</v>
      </c>
      <c r="G90" s="1" t="s">
        <v>90</v>
      </c>
      <c r="H90" s="1"/>
      <c r="I90" s="1"/>
      <c r="J90" s="1" t="s">
        <v>109</v>
      </c>
      <c r="K90" s="1" t="s">
        <v>45</v>
      </c>
      <c r="L90" s="1" t="s">
        <v>29</v>
      </c>
      <c r="M90" s="2" t="s">
        <v>100</v>
      </c>
      <c r="N90" s="4" t="str">
        <f>Table1[[#This Row],[id2]]&amp;Table1[[#This Row],[name4]]</f>
        <v>86a8cb61-a4d2-40f7-82a7-adfe5a835acd</v>
      </c>
      <c r="O90" s="4" t="str">
        <f>IF(Table1[[#This Row],[value]]="","",Table1[[#This Row],[value]])</f>
        <v/>
      </c>
      <c r="P90" s="4" t="str">
        <f>Table1[[#This Row],[id2]]&amp;Table1[[#This Row],[name6]]</f>
        <v>86a8cb61-a4d2-40f7-82a7-adfe5a835acdQuest Points</v>
      </c>
      <c r="Q90" s="4" t="str">
        <f>IF(Table1[[#This Row],[value7]]="","",Table1[[#This Row],[value7]])</f>
        <v>9</v>
      </c>
    </row>
    <row r="91" spans="1:17" ht="409.5" x14ac:dyDescent="0.25">
      <c r="A91" s="1" t="s">
        <v>115</v>
      </c>
      <c r="B91" s="1" t="s">
        <v>80</v>
      </c>
      <c r="C91" s="1" t="s">
        <v>13</v>
      </c>
      <c r="D91" s="1" t="s">
        <v>56</v>
      </c>
      <c r="E91" s="1" t="s">
        <v>79</v>
      </c>
      <c r="F91" s="1" t="s">
        <v>85</v>
      </c>
      <c r="G91" s="1" t="s">
        <v>90</v>
      </c>
      <c r="H91" s="1"/>
      <c r="I91" s="1"/>
      <c r="J91" s="1" t="s">
        <v>109</v>
      </c>
      <c r="K91" s="1" t="s">
        <v>45</v>
      </c>
      <c r="L91" s="1" t="s">
        <v>25</v>
      </c>
      <c r="M91" s="2" t="s">
        <v>110</v>
      </c>
      <c r="N91" s="4" t="str">
        <f>Table1[[#This Row],[id2]]&amp;Table1[[#This Row],[name4]]</f>
        <v>86a8cb61-a4d2-40f7-82a7-adfe5a835acd</v>
      </c>
      <c r="O91" s="4" t="str">
        <f>IF(Table1[[#This Row],[value]]="","",Table1[[#This Row],[value]])</f>
        <v/>
      </c>
      <c r="P91" s="4" t="str">
        <f>Table1[[#This Row],[id2]]&amp;Table1[[#This Row],[name6]]</f>
        <v>86a8cb61-a4d2-40f7-82a7-adfe5a835acdText</v>
      </c>
      <c r="Q91" s="4"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6"/>
  <sheetViews>
    <sheetView workbookViewId="0">
      <selection activeCell="I2" sqref="I2"/>
    </sheetView>
  </sheetViews>
  <sheetFormatPr defaultRowHeight="15" x14ac:dyDescent="0.25"/>
  <cols>
    <col min="1" max="1" width="46.5703125" bestFit="1" customWidth="1"/>
    <col min="2" max="2" width="38.140625" bestFit="1" customWidth="1"/>
    <col min="3" max="3" width="39.85546875" hidden="1" customWidth="1"/>
    <col min="4" max="4" width="28.28515625" bestFit="1" customWidth="1"/>
    <col min="5" max="5" width="15" customWidth="1"/>
    <col min="6" max="6" width="38" customWidth="1"/>
    <col min="7" max="7" width="28.140625" bestFit="1" customWidth="1"/>
    <col min="8" max="8" width="38.42578125" customWidth="1"/>
    <col min="9" max="9" width="38.140625" customWidth="1"/>
    <col min="10" max="10" width="16.5703125" customWidth="1"/>
    <col min="11" max="11" width="9.85546875" customWidth="1"/>
    <col min="12" max="23" width="38" customWidth="1"/>
    <col min="24" max="211" width="38" bestFit="1" customWidth="1"/>
    <col min="212" max="212" width="11.28515625" bestFit="1" customWidth="1"/>
  </cols>
  <sheetData>
    <row r="1" spans="1:11" x14ac:dyDescent="0.25">
      <c r="A1" s="3" t="s">
        <v>46</v>
      </c>
      <c r="B1" s="3" t="s">
        <v>47</v>
      </c>
      <c r="C1" s="3" t="s">
        <v>1</v>
      </c>
      <c r="D1" s="3" t="s">
        <v>48</v>
      </c>
      <c r="F1" s="3" t="s">
        <v>47</v>
      </c>
      <c r="G1" s="3" t="s">
        <v>49</v>
      </c>
      <c r="I1" s="3" t="s">
        <v>112</v>
      </c>
      <c r="J1" s="3" t="s">
        <v>113</v>
      </c>
      <c r="K1" s="3" t="s">
        <v>4</v>
      </c>
    </row>
    <row r="2" spans="1:11" x14ac:dyDescent="0.25">
      <c r="A2" t="s">
        <v>115</v>
      </c>
      <c r="B2" t="s">
        <v>81</v>
      </c>
      <c r="C2" t="s">
        <v>80</v>
      </c>
      <c r="D2" t="s">
        <v>86</v>
      </c>
      <c r="F2" t="s">
        <v>85</v>
      </c>
      <c r="G2" t="s">
        <v>109</v>
      </c>
      <c r="I2" t="s">
        <v>80</v>
      </c>
      <c r="J2" t="s">
        <v>115</v>
      </c>
      <c r="K2" t="s">
        <v>79</v>
      </c>
    </row>
    <row r="3" spans="1:11" x14ac:dyDescent="0.25">
      <c r="B3" t="s">
        <v>82</v>
      </c>
      <c r="C3" t="s">
        <v>80</v>
      </c>
      <c r="D3" t="s">
        <v>87</v>
      </c>
    </row>
    <row r="4" spans="1:11" x14ac:dyDescent="0.25">
      <c r="B4" t="s">
        <v>83</v>
      </c>
      <c r="C4" t="s">
        <v>80</v>
      </c>
      <c r="D4" t="s">
        <v>88</v>
      </c>
    </row>
    <row r="5" spans="1:11" x14ac:dyDescent="0.25">
      <c r="B5" t="s">
        <v>84</v>
      </c>
      <c r="C5" t="s">
        <v>80</v>
      </c>
      <c r="D5" t="s">
        <v>89</v>
      </c>
    </row>
    <row r="6" spans="1:11" x14ac:dyDescent="0.25">
      <c r="B6" t="s">
        <v>85</v>
      </c>
      <c r="C6" t="s">
        <v>80</v>
      </c>
      <c r="D6" t="s">
        <v>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129"/>
  <sheetViews>
    <sheetView workbookViewId="0">
      <pane ySplit="1" topLeftCell="A2" activePane="bottomLeft" state="frozen"/>
      <selection activeCell="I1" sqref="I1"/>
      <selection pane="bottomLeft" activeCell="A2" sqref="A2:AP6"/>
    </sheetView>
  </sheetViews>
  <sheetFormatPr defaultRowHeight="15" x14ac:dyDescent="0.25"/>
  <cols>
    <col min="1" max="2" width="39.85546875" style="6" bestFit="1" customWidth="1"/>
    <col min="3" max="5" width="4" style="6" bestFit="1" customWidth="1"/>
    <col min="6" max="6" width="37" style="6" bestFit="1" customWidth="1"/>
    <col min="7" max="7" width="37" style="6" customWidth="1"/>
    <col min="8" max="8" width="4" style="6" bestFit="1" customWidth="1"/>
    <col min="9" max="9" width="11.28515625" style="6" bestFit="1" customWidth="1"/>
    <col min="10" max="10" width="10.7109375" style="6" bestFit="1" customWidth="1"/>
    <col min="11" max="11" width="33.140625" style="6" bestFit="1" customWidth="1"/>
    <col min="12" max="12" width="44.140625" style="7" customWidth="1"/>
    <col min="13" max="21" width="4" style="6" bestFit="1" customWidth="1"/>
    <col min="22" max="22" width="66.7109375" style="7" customWidth="1"/>
    <col min="23" max="23" width="55.85546875" style="7" customWidth="1"/>
    <col min="24" max="24" width="11.28515625" style="6" bestFit="1" customWidth="1"/>
    <col min="25" max="25" width="38" style="6" bestFit="1" customWidth="1"/>
    <col min="26" max="26" width="4" style="7" bestFit="1" customWidth="1"/>
    <col min="27" max="27" width="9.140625" style="6"/>
    <col min="28" max="28" width="13" style="6" customWidth="1"/>
    <col min="29" max="29" width="12.85546875" style="6" customWidth="1"/>
    <col min="30" max="30" width="12.28515625" style="6" customWidth="1"/>
    <col min="31" max="38" width="4" style="6" bestFit="1" customWidth="1"/>
    <col min="39" max="39" width="7" style="6" customWidth="1"/>
    <col min="40" max="41" width="55.85546875" style="6" customWidth="1"/>
    <col min="42" max="16384" width="9.140625" style="6"/>
  </cols>
  <sheetData>
    <row r="1" spans="1:42" s="5" customFormat="1" ht="102" x14ac:dyDescent="0.25">
      <c r="A1" s="8" t="s">
        <v>46</v>
      </c>
      <c r="B1" s="8" t="s">
        <v>50</v>
      </c>
      <c r="C1" s="9" t="s">
        <v>57</v>
      </c>
      <c r="D1" s="9" t="s">
        <v>55</v>
      </c>
      <c r="E1" s="9" t="s">
        <v>31</v>
      </c>
      <c r="F1" s="8" t="s">
        <v>30</v>
      </c>
      <c r="G1" s="8" t="s">
        <v>48</v>
      </c>
      <c r="H1" s="9" t="s">
        <v>18</v>
      </c>
      <c r="I1" s="8" t="s">
        <v>14</v>
      </c>
      <c r="J1" s="8" t="s">
        <v>15</v>
      </c>
      <c r="K1" s="8" t="s">
        <v>24</v>
      </c>
      <c r="L1" s="10" t="s">
        <v>27</v>
      </c>
      <c r="M1" s="9" t="s">
        <v>16</v>
      </c>
      <c r="N1" s="9" t="s">
        <v>17</v>
      </c>
      <c r="O1" s="9" t="s">
        <v>28</v>
      </c>
      <c r="P1" s="9" t="s">
        <v>22</v>
      </c>
      <c r="Q1" s="9" t="s">
        <v>20</v>
      </c>
      <c r="R1" s="9" t="s">
        <v>21</v>
      </c>
      <c r="S1" s="9" t="s">
        <v>23</v>
      </c>
      <c r="T1" s="9" t="s">
        <v>29</v>
      </c>
      <c r="U1" s="9" t="s">
        <v>32</v>
      </c>
      <c r="V1" s="10" t="s">
        <v>25</v>
      </c>
      <c r="W1" s="10" t="s">
        <v>26</v>
      </c>
      <c r="X1" s="8" t="s">
        <v>19</v>
      </c>
      <c r="Y1" s="8" t="s">
        <v>49</v>
      </c>
      <c r="Z1" s="9" t="s">
        <v>18</v>
      </c>
      <c r="AA1" s="8" t="s">
        <v>14</v>
      </c>
      <c r="AB1" s="8" t="s">
        <v>15</v>
      </c>
      <c r="AC1" s="8" t="s">
        <v>24</v>
      </c>
      <c r="AD1" s="10" t="s">
        <v>27</v>
      </c>
      <c r="AE1" s="9" t="s">
        <v>16</v>
      </c>
      <c r="AF1" s="9" t="s">
        <v>17</v>
      </c>
      <c r="AG1" s="9" t="s">
        <v>28</v>
      </c>
      <c r="AH1" s="9" t="s">
        <v>22</v>
      </c>
      <c r="AI1" s="9" t="s">
        <v>20</v>
      </c>
      <c r="AJ1" s="9" t="s">
        <v>21</v>
      </c>
      <c r="AK1" s="9" t="s">
        <v>23</v>
      </c>
      <c r="AL1" s="9" t="s">
        <v>29</v>
      </c>
      <c r="AM1" s="9" t="s">
        <v>32</v>
      </c>
      <c r="AN1" s="10" t="s">
        <v>25</v>
      </c>
      <c r="AO1" s="10" t="s">
        <v>26</v>
      </c>
      <c r="AP1" s="8" t="s">
        <v>19</v>
      </c>
    </row>
    <row r="2" spans="1:42" ht="90" x14ac:dyDescent="0.25">
      <c r="A2" s="6" t="str">
        <f>VLOOKUP(B2,IDS!$B:$D,2,FALSE)</f>
        <v>61747121-05d1-4216-8c22-06dcc958e7a3</v>
      </c>
      <c r="B2" s="6" t="str">
        <f>IDS!B2</f>
        <v>cd20023c-210a-498f-9183-65c461183c4c</v>
      </c>
      <c r="E2" s="6">
        <f>IFERROR(VALUE(IFERROR(VLOOKUP($B2&amp;E$1,Import!$N:$O,2,FALSE),"")),IFERROR(VLOOKUP($B2&amp;E$1,Import!$N:$O,2,FALSE),""))</f>
        <v>1</v>
      </c>
      <c r="F2" s="6" t="str">
        <f>IFERROR(VLOOKUP($B2&amp;F$1,Import!$N:$O,2,FALSE),"")</f>
        <v/>
      </c>
      <c r="G2" s="6" t="str">
        <f>IDS!D2</f>
        <v>Aragorn</v>
      </c>
      <c r="H2" s="6" t="str">
        <f>IFERROR(VLOOKUP($B2&amp;H$1,Import!$N:$O,2,FALSE),"")</f>
        <v>‰</v>
      </c>
      <c r="I2" s="6" t="str">
        <f>IFERROR(VLOOKUP($B2&amp;I$1,Import!$N:$O,2,FALSE),"")</f>
        <v>Hero</v>
      </c>
      <c r="J2" s="6" t="str">
        <f>IFERROR(VLOOKUP($B2&amp;J$1,Import!$N:$O,2,FALSE),"")</f>
        <v>Leadership</v>
      </c>
      <c r="K2" s="6" t="str">
        <f>IFERROR(VLOOKUP($B2&amp;K$1,Import!$N:$O,2,FALSE),"")</f>
        <v>Dunedain. Noble. Ranger.</v>
      </c>
      <c r="L2" s="7" t="str">
        <f>IFERROR(VLOOKUP($B2&amp;L$1,Import!$N:$O,2,FALSE),"")</f>
        <v>Sentinel.</v>
      </c>
      <c r="M2" s="6">
        <f>IFERROR(VALUE(IFERROR(VLOOKUP($B2&amp;M$1,Import!$N:$O,2,FALSE),"")),IFERROR(VLOOKUP($B2&amp;M$1,Import!$N:$O,2,FALSE),""))</f>
        <v>12</v>
      </c>
      <c r="N2" s="6" t="str">
        <f>IFERROR(VALUE(IFERROR(VLOOKUP($B2&amp;N$1,Import!$N:$O,2,FALSE),"")),IFERROR(VLOOKUP($B2&amp;N$1,Import!$N:$O,2,FALSE),""))</f>
        <v/>
      </c>
      <c r="O2" s="6" t="str">
        <f>IFERROR(VALUE(IFERROR(VLOOKUP($B2&amp;O$1,Import!$N:$O,2,FALSE),"")),IFERROR(VLOOKUP($B2&amp;O$1,Import!$N:$O,2,FALSE),""))</f>
        <v/>
      </c>
      <c r="P2" s="6">
        <f>IFERROR(VALUE(IFERROR(VLOOKUP($B2&amp;P$1,Import!$N:$O,2,FALSE),"")),IFERROR(VLOOKUP($B2&amp;P$1,Import!$N:$O,2,FALSE),""))</f>
        <v>2</v>
      </c>
      <c r="Q2" s="6">
        <f>IFERROR(VALUE(IFERROR(VLOOKUP($B2&amp;Q$1,Import!$N:$O,2,FALSE),"")),IFERROR(VLOOKUP($B2&amp;Q$1,Import!$N:$O,2,FALSE),""))</f>
        <v>3</v>
      </c>
      <c r="R2" s="6">
        <f>IFERROR(VALUE(IFERROR(VLOOKUP($B2&amp;R$1,Import!$N:$O,2,FALSE),"")),IFERROR(VLOOKUP($B2&amp;R$1,Import!$N:$O,2,FALSE),""))</f>
        <v>2</v>
      </c>
      <c r="S2" s="6">
        <f>IFERROR(VALUE(IFERROR(VLOOKUP($B2&amp;S$1,Import!$N:$O,2,FALSE),"")),IFERROR(VLOOKUP($B2&amp;S$1,Import!$N:$O,2,FALSE),""))</f>
        <v>5</v>
      </c>
      <c r="T2" s="6" t="str">
        <f>IFERROR(VALUE(IFERROR(VLOOKUP($B2&amp;T$1,Import!$N:$O,2,FALSE),"")),IFERROR(VLOOKUP($B2&amp;T$1,Import!$N:$O,2,FALSE),""))</f>
        <v/>
      </c>
      <c r="U2" s="6" t="str">
        <f>IFERROR(VALUE(IFERROR(VLOOKUP($B2&amp;U$1,Import!$N:$O,2,FALSE),"")),IFERROR(VLOOKUP($B2&amp;U$1,Import!$N:$O,2,FALSE),""))</f>
        <v/>
      </c>
      <c r="V2" s="7" t="str">
        <f>IFERROR(VLOOKUP($B2&amp;V$1,Import!$N:$O,2,FALSE),"")</f>
        <v>Response: After Aragorn commits to a quest, spend 1 resource from his resource pool to ready him. 
You can now use "Quotes" &amp; Ampersands!
hit "ALT+Enter" for 
Newlines!</v>
      </c>
      <c r="W2" s="7" t="str">
        <f>IFERROR(VLOOKUP($B2&amp;W$1,Import!$N:$O,2,FALSE),"")</f>
        <v/>
      </c>
      <c r="X2" s="6" t="str">
        <f>IFERROR(VLOOKUP($B2&amp;X$1,Import!$N:$O,2,FALSE),"")</f>
        <v/>
      </c>
      <c r="Y2" s="6" t="str">
        <f>IFERROR(VLOOKUP(B2,IDS!$F:$G,2,FALSE),"")</f>
        <v/>
      </c>
      <c r="Z2" s="6" t="str">
        <f>IFERROR(VLOOKUP($B2&amp;Z$1,Import!$P:$Q,2,FALSE),"")</f>
        <v/>
      </c>
      <c r="AA2" s="6" t="str">
        <f>IFERROR(VLOOKUP($B2&amp;AA$1,Import!$P:$Q,2,FALSE),"")</f>
        <v/>
      </c>
      <c r="AB2" s="6" t="str">
        <f>IFERROR(VLOOKUP($B2&amp;AB$1,Import!$P:$Q,2,FALSE),"")</f>
        <v/>
      </c>
      <c r="AC2" s="6" t="str">
        <f>IFERROR(VLOOKUP($B2&amp;AC$1,Import!$P:$Q,2,FALSE),"")</f>
        <v/>
      </c>
      <c r="AD2" s="7" t="str">
        <f>IFERROR(VLOOKUP($B2&amp;AD$1,Import!$P:$Q,2,FALSE),"")</f>
        <v/>
      </c>
      <c r="AE2" s="6" t="str">
        <f>IFERROR(VALUE(IFERROR(VLOOKUP($B2&amp;AE$1,Import!$P:$Q,2,FALSE),"")),IFERROR(VLOOKUP($B2&amp;AE$1,Import!$P:$Q,2,FALSE),""))</f>
        <v/>
      </c>
      <c r="AF2" s="6" t="str">
        <f>IFERROR(VALUE(IFERROR(VLOOKUP($B2&amp;AF$1,Import!$P:$Q,2,FALSE),"")),IFERROR(VLOOKUP($B2&amp;AF$1,Import!$P:$Q,2,FALSE),""))</f>
        <v/>
      </c>
      <c r="AG2" s="6" t="str">
        <f>IFERROR(VALUE(IFERROR(VLOOKUP($B2&amp;AG$1,Import!$P:$Q,2,FALSE),"")),IFERROR(VLOOKUP($B2&amp;AG$1,Import!$P:$Q,2,FALSE),""))</f>
        <v/>
      </c>
      <c r="AH2" s="6" t="str">
        <f>IFERROR(VALUE(IFERROR(VLOOKUP($B2&amp;AH$1,Import!$P:$Q,2,FALSE),"")),IFERROR(VLOOKUP($B2&amp;AH$1,Import!$P:$Q,2,FALSE),""))</f>
        <v/>
      </c>
      <c r="AI2" s="6" t="str">
        <f>IFERROR(VALUE(IFERROR(VLOOKUP($B2&amp;AI$1,Import!$P:$Q,2,FALSE),"")),IFERROR(VLOOKUP($B2&amp;AI$1,Import!$P:$Q,2,FALSE),""))</f>
        <v/>
      </c>
      <c r="AJ2" s="6" t="str">
        <f>IFERROR(VALUE(IFERROR(VLOOKUP($B2&amp;AJ$1,Import!$P:$Q,2,FALSE),"")),IFERROR(VLOOKUP($B2&amp;AJ$1,Import!$P:$Q,2,FALSE),""))</f>
        <v/>
      </c>
      <c r="AK2" s="6" t="str">
        <f>IFERROR(VALUE(IFERROR(VLOOKUP($B2&amp;AK$1,Import!$P:$Q,2,FALSE),"")),IFERROR(VLOOKUP($B2&amp;AK$1,Import!$P:$Q,2,FALSE),""))</f>
        <v/>
      </c>
      <c r="AL2" s="6" t="str">
        <f>IFERROR(VALUE(IFERROR(VLOOKUP($B2&amp;AL$1,Import!$P:$Q,2,FALSE),"")),IFERROR(VLOOKUP($B2&amp;AL$1,Import!$P:$Q,2,FALSE),""))</f>
        <v/>
      </c>
      <c r="AM2" s="6" t="str">
        <f>IFERROR(VALUE(IFERROR(VLOOKUP($B2&amp;AM$1,Import!$P:$Q,2,FALSE),"")),IFERROR(VLOOKUP($B2&amp;AM$1,Import!$P:$Q,2,FALSE),""))</f>
        <v/>
      </c>
      <c r="AN2" s="7" t="str">
        <f>IFERROR(VLOOKUP($B2&amp;AN$1,Import!$P:$Q,2,FALSE),"")</f>
        <v/>
      </c>
      <c r="AO2" s="7" t="str">
        <f>IFERROR(VLOOKUP($B2&amp;AO$1,Import!$P:$Q,2,FALSE),"")</f>
        <v/>
      </c>
      <c r="AP2" s="6" t="str">
        <f>IFERROR(VLOOKUP($B2&amp;AP$1,Import!$P:$Q,2,FALSE),"")</f>
        <v/>
      </c>
    </row>
    <row r="3" spans="1:42" ht="30" x14ac:dyDescent="0.25">
      <c r="A3" s="6" t="str">
        <f>VLOOKUP(B3,IDS!$B:$D,2,FALSE)</f>
        <v>61747121-05d1-4216-8c22-06dcc958e7a3</v>
      </c>
      <c r="B3" s="6" t="str">
        <f>IDS!B3</f>
        <v>ec979e5e-270f-41dd-9ea4-de77431a423a</v>
      </c>
      <c r="E3" s="6">
        <f>IFERROR(VALUE(IFERROR(VLOOKUP($B3&amp;E$1,Import!$N:$O,2,FALSE),"")),IFERROR(VLOOKUP($B3&amp;E$1,Import!$N:$O,2,FALSE),""))</f>
        <v>2</v>
      </c>
      <c r="F3" s="6" t="str">
        <f>IFERROR(VLOOKUP($B3&amp;F$1,Import!$N:$O,2,FALSE),"")</f>
        <v/>
      </c>
      <c r="G3" s="6" t="str">
        <f>IDS!D3</f>
        <v>Protector of Lórien</v>
      </c>
      <c r="H3" s="6" t="str">
        <f>IFERROR(VLOOKUP($B3&amp;H$1,Import!$N:$O,2,FALSE),"")</f>
        <v/>
      </c>
      <c r="I3" s="6" t="str">
        <f>IFERROR(VLOOKUP($B3&amp;I$1,Import!$N:$O,2,FALSE),"")</f>
        <v>Attachment</v>
      </c>
      <c r="J3" s="6" t="str">
        <f>IFERROR(VLOOKUP($B3&amp;J$1,Import!$N:$O,2,FALSE),"")</f>
        <v>Lore</v>
      </c>
      <c r="K3" s="6" t="str">
        <f>IFERROR(VLOOKUP($B3&amp;K$1,Import!$N:$O,2,FALSE),"")</f>
        <v>Title.</v>
      </c>
      <c r="L3" s="7" t="str">
        <f>IFERROR(VLOOKUP($B3&amp;L$1,Import!$N:$O,2,FALSE),"")</f>
        <v>Attach to a hero.</v>
      </c>
      <c r="M3" s="6">
        <f>IFERROR(VALUE(IFERROR(VLOOKUP($B3&amp;M$1,Import!$N:$O,2,FALSE),"")),IFERROR(VLOOKUP($B3&amp;M$1,Import!$N:$O,2,FALSE),""))</f>
        <v>1</v>
      </c>
      <c r="N3" s="6" t="str">
        <f>IFERROR(VALUE(IFERROR(VLOOKUP($B3&amp;N$1,Import!$N:$O,2,FALSE),"")),IFERROR(VLOOKUP($B3&amp;N$1,Import!$N:$O,2,FALSE),""))</f>
        <v/>
      </c>
      <c r="O3" s="6" t="str">
        <f>IFERROR(VALUE(IFERROR(VLOOKUP($B3&amp;O$1,Import!$N:$O,2,FALSE),"")),IFERROR(VLOOKUP($B3&amp;O$1,Import!$N:$O,2,FALSE),""))</f>
        <v/>
      </c>
      <c r="P3" s="6" t="str">
        <f>IFERROR(VALUE(IFERROR(VLOOKUP($B3&amp;P$1,Import!$N:$O,2,FALSE),"")),IFERROR(VLOOKUP($B3&amp;P$1,Import!$N:$O,2,FALSE),""))</f>
        <v/>
      </c>
      <c r="Q3" s="6" t="str">
        <f>IFERROR(VALUE(IFERROR(VLOOKUP($B3&amp;Q$1,Import!$N:$O,2,FALSE),"")),IFERROR(VLOOKUP($B3&amp;Q$1,Import!$N:$O,2,FALSE),""))</f>
        <v/>
      </c>
      <c r="R3" s="6" t="str">
        <f>IFERROR(VALUE(IFERROR(VLOOKUP($B3&amp;R$1,Import!$N:$O,2,FALSE),"")),IFERROR(VLOOKUP($B3&amp;R$1,Import!$N:$O,2,FALSE),""))</f>
        <v/>
      </c>
      <c r="S3" s="6" t="str">
        <f>IFERROR(VALUE(IFERROR(VLOOKUP($B3&amp;S$1,Import!$N:$O,2,FALSE),"")),IFERROR(VLOOKUP($B3&amp;S$1,Import!$N:$O,2,FALSE),""))</f>
        <v/>
      </c>
      <c r="T3" s="6" t="str">
        <f>IFERROR(VALUE(IFERROR(VLOOKUP($B3&amp;T$1,Import!$N:$O,2,FALSE),"")),IFERROR(VLOOKUP($B3&amp;T$1,Import!$N:$O,2,FALSE),""))</f>
        <v/>
      </c>
      <c r="U3" s="6" t="str">
        <f>IFERROR(VALUE(IFERROR(VLOOKUP($B3&amp;U$1,Import!$N:$O,2,FALSE),"")),IFERROR(VLOOKUP($B3&amp;U$1,Import!$N:$O,2,FALSE),""))</f>
        <v/>
      </c>
      <c r="V3" s="7" t="str">
        <f>IFERROR(VLOOKUP($B3&amp;V$1,Import!$N:$O,2,FALSE),"")</f>
        <v>Action: Discard a card from your hand to give attached hero +1 Ú or +1 Ò until the end of the phase. Limit 3 times per phase.</v>
      </c>
      <c r="W3" s="7" t="str">
        <f>IFERROR(VLOOKUP($B3&amp;W$1,Import!$N:$O,2,FALSE),"")</f>
        <v/>
      </c>
      <c r="X3" s="6" t="str">
        <f>IFERROR(VLOOKUP($B3&amp;X$1,Import!$N:$O,2,FALSE),"")</f>
        <v/>
      </c>
      <c r="Y3" s="6" t="str">
        <f>IFERROR(VLOOKUP(B3,IDS!$F:$G,2,FALSE),"")</f>
        <v/>
      </c>
      <c r="Z3" s="6" t="str">
        <f>IFERROR(VLOOKUP($B3&amp;Z$1,Import!$P:$Q,2,FALSE),"")</f>
        <v/>
      </c>
      <c r="AA3" s="6" t="str">
        <f>IFERROR(VLOOKUP($B3&amp;AA$1,Import!$P:$Q,2,FALSE),"")</f>
        <v/>
      </c>
      <c r="AB3" s="6" t="str">
        <f>IFERROR(VLOOKUP($B3&amp;AB$1,Import!$P:$Q,2,FALSE),"")</f>
        <v/>
      </c>
      <c r="AC3" s="6" t="str">
        <f>IFERROR(VLOOKUP($B3&amp;AC$1,Import!$P:$Q,2,FALSE),"")</f>
        <v/>
      </c>
      <c r="AD3" s="7" t="str">
        <f>IFERROR(VLOOKUP($B3&amp;AD$1,Import!$P:$Q,2,FALSE),"")</f>
        <v/>
      </c>
      <c r="AE3" s="6" t="str">
        <f>IFERROR(VALUE(IFERROR(VLOOKUP($B3&amp;AE$1,Import!$P:$Q,2,FALSE),"")),IFERROR(VLOOKUP($B3&amp;AE$1,Import!$P:$Q,2,FALSE),""))</f>
        <v/>
      </c>
      <c r="AF3" s="6" t="str">
        <f>IFERROR(VALUE(IFERROR(VLOOKUP($B3&amp;AF$1,Import!$P:$Q,2,FALSE),"")),IFERROR(VLOOKUP($B3&amp;AF$1,Import!$P:$Q,2,FALSE),""))</f>
        <v/>
      </c>
      <c r="AG3" s="6" t="str">
        <f>IFERROR(VALUE(IFERROR(VLOOKUP($B3&amp;AG$1,Import!$P:$Q,2,FALSE),"")),IFERROR(VLOOKUP($B3&amp;AG$1,Import!$P:$Q,2,FALSE),""))</f>
        <v/>
      </c>
      <c r="AH3" s="6" t="str">
        <f>IFERROR(VALUE(IFERROR(VLOOKUP($B3&amp;AH$1,Import!$P:$Q,2,FALSE),"")),IFERROR(VLOOKUP($B3&amp;AH$1,Import!$P:$Q,2,FALSE),""))</f>
        <v/>
      </c>
      <c r="AI3" s="6" t="str">
        <f>IFERROR(VALUE(IFERROR(VLOOKUP($B3&amp;AI$1,Import!$P:$Q,2,FALSE),"")),IFERROR(VLOOKUP($B3&amp;AI$1,Import!$P:$Q,2,FALSE),""))</f>
        <v/>
      </c>
      <c r="AJ3" s="6" t="str">
        <f>IFERROR(VALUE(IFERROR(VLOOKUP($B3&amp;AJ$1,Import!$P:$Q,2,FALSE),"")),IFERROR(VLOOKUP($B3&amp;AJ$1,Import!$P:$Q,2,FALSE),""))</f>
        <v/>
      </c>
      <c r="AK3" s="6" t="str">
        <f>IFERROR(VALUE(IFERROR(VLOOKUP($B3&amp;AK$1,Import!$P:$Q,2,FALSE),"")),IFERROR(VLOOKUP($B3&amp;AK$1,Import!$P:$Q,2,FALSE),""))</f>
        <v/>
      </c>
      <c r="AL3" s="6" t="str">
        <f>IFERROR(VALUE(IFERROR(VLOOKUP($B3&amp;AL$1,Import!$P:$Q,2,FALSE),"")),IFERROR(VLOOKUP($B3&amp;AL$1,Import!$P:$Q,2,FALSE),""))</f>
        <v/>
      </c>
      <c r="AM3" s="6" t="str">
        <f>IFERROR(VALUE(IFERROR(VLOOKUP($B3&amp;AM$1,Import!$P:$Q,2,FALSE),"")),IFERROR(VLOOKUP($B3&amp;AM$1,Import!$P:$Q,2,FALSE),""))</f>
        <v/>
      </c>
      <c r="AN3" s="7" t="str">
        <f>IFERROR(VLOOKUP($B3&amp;AN$1,Import!$P:$Q,2,FALSE),"")</f>
        <v/>
      </c>
      <c r="AO3" s="7" t="str">
        <f>IFERROR(VLOOKUP($B3&amp;AO$1,Import!$P:$Q,2,FALSE),"")</f>
        <v/>
      </c>
      <c r="AP3" s="6" t="str">
        <f>IFERROR(VLOOKUP($B3&amp;AP$1,Import!$P:$Q,2,FALSE),"")</f>
        <v/>
      </c>
    </row>
    <row r="4" spans="1:42" ht="45" x14ac:dyDescent="0.25">
      <c r="A4" s="6" t="str">
        <f>VLOOKUP(B4,IDS!$B:$D,2,FALSE)</f>
        <v>61747121-05d1-4216-8c22-06dcc958e7a3</v>
      </c>
      <c r="B4" s="6" t="str">
        <f>IDS!B4</f>
        <v>13c9bc79-dee5-47a6-8649-ddff6a753bf6</v>
      </c>
      <c r="E4" s="6">
        <f>IFERROR(VALUE(IFERROR(VLOOKUP($B4&amp;E$1,Import!$N:$O,2,FALSE),"")),IFERROR(VLOOKUP($B4&amp;E$1,Import!$N:$O,2,FALSE),""))</f>
        <v>1</v>
      </c>
      <c r="F4" s="6" t="str">
        <f>IFERROR(VLOOKUP($B4&amp;F$1,Import!$N:$O,2,FALSE),"")</f>
        <v>Spiders of Mirkwood</v>
      </c>
      <c r="G4" s="6" t="str">
        <f>IDS!D4</f>
        <v>Ungoliant's Spawn</v>
      </c>
      <c r="H4" s="6" t="str">
        <f>IFERROR(VLOOKUP($B4&amp;H$1,Import!$N:$O,2,FALSE),"")</f>
        <v/>
      </c>
      <c r="I4" s="6" t="str">
        <f>IFERROR(VLOOKUP($B4&amp;I$1,Import!$N:$O,2,FALSE),"")</f>
        <v>Enemy</v>
      </c>
      <c r="J4" s="6" t="str">
        <f>IFERROR(VLOOKUP($B4&amp;J$1,Import!$N:$O,2,FALSE),"")</f>
        <v/>
      </c>
      <c r="K4" s="6" t="str">
        <f>IFERROR(VLOOKUP($B4&amp;K$1,Import!$N:$O,2,FALSE),"")</f>
        <v>Creature. Spider.</v>
      </c>
      <c r="L4" s="7" t="str">
        <f>IFERROR(VLOOKUP($B4&amp;L$1,Import!$N:$O,2,FALSE),"")</f>
        <v/>
      </c>
      <c r="M4" s="6" t="str">
        <f>IFERROR(VALUE(IFERROR(VLOOKUP($B4&amp;M$1,Import!$N:$O,2,FALSE),"")),IFERROR(VLOOKUP($B4&amp;M$1,Import!$N:$O,2,FALSE),""))</f>
        <v/>
      </c>
      <c r="N4" s="6">
        <f>IFERROR(VALUE(IFERROR(VLOOKUP($B4&amp;N$1,Import!$N:$O,2,FALSE),"")),IFERROR(VLOOKUP($B4&amp;N$1,Import!$N:$O,2,FALSE),""))</f>
        <v>32</v>
      </c>
      <c r="O4" s="6">
        <f>IFERROR(VALUE(IFERROR(VLOOKUP($B4&amp;O$1,Import!$N:$O,2,FALSE),"")),IFERROR(VLOOKUP($B4&amp;O$1,Import!$N:$O,2,FALSE),""))</f>
        <v>3</v>
      </c>
      <c r="P4" s="6" t="str">
        <f>IFERROR(VALUE(IFERROR(VLOOKUP($B4&amp;P$1,Import!$N:$O,2,FALSE),"")),IFERROR(VLOOKUP($B4&amp;P$1,Import!$N:$O,2,FALSE),""))</f>
        <v/>
      </c>
      <c r="Q4" s="6">
        <f>IFERROR(VALUE(IFERROR(VLOOKUP($B4&amp;Q$1,Import!$N:$O,2,FALSE),"")),IFERROR(VLOOKUP($B4&amp;Q$1,Import!$N:$O,2,FALSE),""))</f>
        <v>5</v>
      </c>
      <c r="R4" s="6">
        <f>IFERROR(VALUE(IFERROR(VLOOKUP($B4&amp;R$1,Import!$N:$O,2,FALSE),"")),IFERROR(VLOOKUP($B4&amp;R$1,Import!$N:$O,2,FALSE),""))</f>
        <v>2</v>
      </c>
      <c r="S4" s="6">
        <f>IFERROR(VALUE(IFERROR(VLOOKUP($B4&amp;S$1,Import!$N:$O,2,FALSE),"")),IFERROR(VLOOKUP($B4&amp;S$1,Import!$N:$O,2,FALSE),""))</f>
        <v>9</v>
      </c>
      <c r="T4" s="6" t="str">
        <f>IFERROR(VALUE(IFERROR(VLOOKUP($B4&amp;T$1,Import!$N:$O,2,FALSE),"")),IFERROR(VLOOKUP($B4&amp;T$1,Import!$N:$O,2,FALSE),""))</f>
        <v/>
      </c>
      <c r="U4" s="6" t="str">
        <f>IFERROR(VALUE(IFERROR(VLOOKUP($B4&amp;U$1,Import!$N:$O,2,FALSE),"")),IFERROR(VLOOKUP($B4&amp;U$1,Import!$N:$O,2,FALSE),""))</f>
        <v/>
      </c>
      <c r="V4" s="7" t="str">
        <f>IFERROR(VLOOKUP($B4&amp;V$1,Import!$N:$O,2,FALSE),"")</f>
        <v>When Revealed: Each character currently committed to a quest gets -1 Ò until the end of the phase.</v>
      </c>
      <c r="W4" s="7" t="str">
        <f>IFERROR(VLOOKUP($B4&amp;W$1,Import!$N:$O,2,FALSE),"")</f>
        <v>Shadow: Raise defending player's threat by 4. (Raise defending player's threat by 8 instead if this attack is undefended.)</v>
      </c>
      <c r="X4" s="6" t="str">
        <f>IFERROR(VLOOKUP($B4&amp;X$1,Import!$N:$O,2,FALSE),"")</f>
        <v/>
      </c>
      <c r="Y4" s="6" t="str">
        <f>IFERROR(VLOOKUP(B4,IDS!$F:$G,2,FALSE),"")</f>
        <v/>
      </c>
      <c r="Z4" s="6" t="str">
        <f>IFERROR(VLOOKUP($B4&amp;Z$1,Import!$P:$Q,2,FALSE),"")</f>
        <v/>
      </c>
      <c r="AA4" s="6" t="str">
        <f>IFERROR(VLOOKUP($B4&amp;AA$1,Import!$P:$Q,2,FALSE),"")</f>
        <v/>
      </c>
      <c r="AB4" s="6" t="str">
        <f>IFERROR(VLOOKUP($B4&amp;AB$1,Import!$P:$Q,2,FALSE),"")</f>
        <v/>
      </c>
      <c r="AC4" s="6" t="str">
        <f>IFERROR(VLOOKUP($B4&amp;AC$1,Import!$P:$Q,2,FALSE),"")</f>
        <v/>
      </c>
      <c r="AD4" s="7" t="str">
        <f>IFERROR(VLOOKUP($B4&amp;AD$1,Import!$P:$Q,2,FALSE),"")</f>
        <v/>
      </c>
      <c r="AE4" s="6" t="str">
        <f>IFERROR(VALUE(IFERROR(VLOOKUP($B4&amp;AE$1,Import!$P:$Q,2,FALSE),"")),IFERROR(VLOOKUP($B4&amp;AE$1,Import!$P:$Q,2,FALSE),""))</f>
        <v/>
      </c>
      <c r="AF4" s="6" t="str">
        <f>IFERROR(VALUE(IFERROR(VLOOKUP($B4&amp;AF$1,Import!$P:$Q,2,FALSE),"")),IFERROR(VLOOKUP($B4&amp;AF$1,Import!$P:$Q,2,FALSE),""))</f>
        <v/>
      </c>
      <c r="AG4" s="6" t="str">
        <f>IFERROR(VALUE(IFERROR(VLOOKUP($B4&amp;AG$1,Import!$P:$Q,2,FALSE),"")),IFERROR(VLOOKUP($B4&amp;AG$1,Import!$P:$Q,2,FALSE),""))</f>
        <v/>
      </c>
      <c r="AH4" s="6" t="str">
        <f>IFERROR(VALUE(IFERROR(VLOOKUP($B4&amp;AH$1,Import!$P:$Q,2,FALSE),"")),IFERROR(VLOOKUP($B4&amp;AH$1,Import!$P:$Q,2,FALSE),""))</f>
        <v/>
      </c>
      <c r="AI4" s="6" t="str">
        <f>IFERROR(VALUE(IFERROR(VLOOKUP($B4&amp;AI$1,Import!$P:$Q,2,FALSE),"")),IFERROR(VLOOKUP($B4&amp;AI$1,Import!$P:$Q,2,FALSE),""))</f>
        <v/>
      </c>
      <c r="AJ4" s="6" t="str">
        <f>IFERROR(VALUE(IFERROR(VLOOKUP($B4&amp;AJ$1,Import!$P:$Q,2,FALSE),"")),IFERROR(VLOOKUP($B4&amp;AJ$1,Import!$P:$Q,2,FALSE),""))</f>
        <v/>
      </c>
      <c r="AK4" s="6" t="str">
        <f>IFERROR(VALUE(IFERROR(VLOOKUP($B4&amp;AK$1,Import!$P:$Q,2,FALSE),"")),IFERROR(VLOOKUP($B4&amp;AK$1,Import!$P:$Q,2,FALSE),""))</f>
        <v/>
      </c>
      <c r="AL4" s="6" t="str">
        <f>IFERROR(VALUE(IFERROR(VLOOKUP($B4&amp;AL$1,Import!$P:$Q,2,FALSE),"")),IFERROR(VLOOKUP($B4&amp;AL$1,Import!$P:$Q,2,FALSE),""))</f>
        <v/>
      </c>
      <c r="AM4" s="6" t="str">
        <f>IFERROR(VALUE(IFERROR(VLOOKUP($B4&amp;AM$1,Import!$P:$Q,2,FALSE),"")),IFERROR(VLOOKUP($B4&amp;AM$1,Import!$P:$Q,2,FALSE),""))</f>
        <v/>
      </c>
      <c r="AN4" s="7" t="str">
        <f>IFERROR(VLOOKUP($B4&amp;AN$1,Import!$P:$Q,2,FALSE),"")</f>
        <v/>
      </c>
      <c r="AO4" s="7" t="str">
        <f>IFERROR(VLOOKUP($B4&amp;AO$1,Import!$P:$Q,2,FALSE),"")</f>
        <v/>
      </c>
      <c r="AP4" s="6" t="str">
        <f>IFERROR(VLOOKUP($B4&amp;AP$1,Import!$P:$Q,2,FALSE),"")</f>
        <v/>
      </c>
    </row>
    <row r="5" spans="1:42" x14ac:dyDescent="0.25">
      <c r="A5" s="6" t="str">
        <f>VLOOKUP(B5,IDS!$B:$D,2,FALSE)</f>
        <v>61747121-05d1-4216-8c22-06dcc958e7a3</v>
      </c>
      <c r="B5" s="6" t="str">
        <f>IDS!B5</f>
        <v>bff0cd7a-8fe5-4d18-91e9-d3dbf885b01c</v>
      </c>
      <c r="E5" s="6">
        <f>IFERROR(VALUE(IFERROR(VLOOKUP($B5&amp;E$1,Import!$N:$O,2,FALSE),"")),IFERROR(VLOOKUP($B5&amp;E$1,Import!$N:$O,2,FALSE),""))</f>
        <v>2</v>
      </c>
      <c r="F5" s="6" t="str">
        <f>IFERROR(VLOOKUP($B5&amp;F$1,Import!$N:$O,2,FALSE),"")</f>
        <v>Spiders of Mirkwood</v>
      </c>
      <c r="G5" s="6" t="str">
        <f>IDS!D5</f>
        <v>Great Forest Web</v>
      </c>
      <c r="H5" s="6" t="str">
        <f>IFERROR(VLOOKUP($B5&amp;H$1,Import!$N:$O,2,FALSE),"")</f>
        <v/>
      </c>
      <c r="I5" s="6" t="str">
        <f>IFERROR(VLOOKUP($B5&amp;I$1,Import!$N:$O,2,FALSE),"")</f>
        <v>Location</v>
      </c>
      <c r="J5" s="6" t="str">
        <f>IFERROR(VLOOKUP($B5&amp;J$1,Import!$N:$O,2,FALSE),"")</f>
        <v/>
      </c>
      <c r="K5" s="6" t="str">
        <f>IFERROR(VLOOKUP($B5&amp;K$1,Import!$N:$O,2,FALSE),"")</f>
        <v>Forest.</v>
      </c>
      <c r="L5" s="7" t="str">
        <f>IFERROR(VLOOKUP($B5&amp;L$1,Import!$N:$O,2,FALSE),"")</f>
        <v/>
      </c>
      <c r="M5" s="6" t="str">
        <f>IFERROR(VALUE(IFERROR(VLOOKUP($B5&amp;M$1,Import!$N:$O,2,FALSE),"")),IFERROR(VLOOKUP($B5&amp;M$1,Import!$N:$O,2,FALSE),""))</f>
        <v/>
      </c>
      <c r="N5" s="6" t="str">
        <f>IFERROR(VALUE(IFERROR(VLOOKUP($B5&amp;N$1,Import!$N:$O,2,FALSE),"")),IFERROR(VLOOKUP($B5&amp;N$1,Import!$N:$O,2,FALSE),""))</f>
        <v/>
      </c>
      <c r="O5" s="6">
        <f>IFERROR(VALUE(IFERROR(VLOOKUP($B5&amp;O$1,Import!$N:$O,2,FALSE),"")),IFERROR(VLOOKUP($B5&amp;O$1,Import!$N:$O,2,FALSE),""))</f>
        <v>2</v>
      </c>
      <c r="P5" s="6" t="str">
        <f>IFERROR(VALUE(IFERROR(VLOOKUP($B5&amp;P$1,Import!$N:$O,2,FALSE),"")),IFERROR(VLOOKUP($B5&amp;P$1,Import!$N:$O,2,FALSE),""))</f>
        <v/>
      </c>
      <c r="Q5" s="6" t="str">
        <f>IFERROR(VALUE(IFERROR(VLOOKUP($B5&amp;Q$1,Import!$N:$O,2,FALSE),"")),IFERROR(VLOOKUP($B5&amp;Q$1,Import!$N:$O,2,FALSE),""))</f>
        <v/>
      </c>
      <c r="R5" s="6" t="str">
        <f>IFERROR(VALUE(IFERROR(VLOOKUP($B5&amp;R$1,Import!$N:$O,2,FALSE),"")),IFERROR(VLOOKUP($B5&amp;R$1,Import!$N:$O,2,FALSE),""))</f>
        <v/>
      </c>
      <c r="S5" s="6" t="str">
        <f>IFERROR(VALUE(IFERROR(VLOOKUP($B5&amp;S$1,Import!$N:$O,2,FALSE),"")),IFERROR(VLOOKUP($B5&amp;S$1,Import!$N:$O,2,FALSE),""))</f>
        <v/>
      </c>
      <c r="T5" s="6">
        <f>IFERROR(VALUE(IFERROR(VLOOKUP($B5&amp;T$1,Import!$N:$O,2,FALSE),"")),IFERROR(VLOOKUP($B5&amp;T$1,Import!$N:$O,2,FALSE),""))</f>
        <v>2</v>
      </c>
      <c r="U5" s="6" t="str">
        <f>IFERROR(VALUE(IFERROR(VLOOKUP($B5&amp;U$1,Import!$N:$O,2,FALSE),"")),IFERROR(VLOOKUP($B5&amp;U$1,Import!$N:$O,2,FALSE),""))</f>
        <v/>
      </c>
      <c r="V5" s="7" t="str">
        <f>IFERROR(VLOOKUP($B5&amp;V$1,Import!$N:$O,2,FALSE),"")</f>
        <v>Travel: Each player must exhaust 1 hero he controls to travel here.</v>
      </c>
      <c r="W5" s="7" t="str">
        <f>IFERROR(VLOOKUP($B5&amp;W$1,Import!$N:$O,2,FALSE),"")</f>
        <v/>
      </c>
      <c r="X5" s="6" t="str">
        <f>IFERROR(VLOOKUP($B5&amp;X$1,Import!$N:$O,2,FALSE),"")</f>
        <v/>
      </c>
      <c r="Y5" s="6" t="str">
        <f>IFERROR(VLOOKUP(B5,IDS!$F:$G,2,FALSE),"")</f>
        <v/>
      </c>
      <c r="Z5" s="6" t="str">
        <f>IFERROR(VLOOKUP($B5&amp;Z$1,Import!$P:$Q,2,FALSE),"")</f>
        <v/>
      </c>
      <c r="AA5" s="6" t="str">
        <f>IFERROR(VLOOKUP($B5&amp;AA$1,Import!$P:$Q,2,FALSE),"")</f>
        <v/>
      </c>
      <c r="AB5" s="6" t="str">
        <f>IFERROR(VLOOKUP($B5&amp;AB$1,Import!$P:$Q,2,FALSE),"")</f>
        <v/>
      </c>
      <c r="AC5" s="6" t="str">
        <f>IFERROR(VLOOKUP($B5&amp;AC$1,Import!$P:$Q,2,FALSE),"")</f>
        <v/>
      </c>
      <c r="AD5" s="7" t="str">
        <f>IFERROR(VLOOKUP($B5&amp;AD$1,Import!$P:$Q,2,FALSE),"")</f>
        <v/>
      </c>
      <c r="AE5" s="6" t="str">
        <f>IFERROR(VALUE(IFERROR(VLOOKUP($B5&amp;AE$1,Import!$P:$Q,2,FALSE),"")),IFERROR(VLOOKUP($B5&amp;AE$1,Import!$P:$Q,2,FALSE),""))</f>
        <v/>
      </c>
      <c r="AF5" s="6" t="str">
        <f>IFERROR(VALUE(IFERROR(VLOOKUP($B5&amp;AF$1,Import!$P:$Q,2,FALSE),"")),IFERROR(VLOOKUP($B5&amp;AF$1,Import!$P:$Q,2,FALSE),""))</f>
        <v/>
      </c>
      <c r="AG5" s="6" t="str">
        <f>IFERROR(VALUE(IFERROR(VLOOKUP($B5&amp;AG$1,Import!$P:$Q,2,FALSE),"")),IFERROR(VLOOKUP($B5&amp;AG$1,Import!$P:$Q,2,FALSE),""))</f>
        <v/>
      </c>
      <c r="AH5" s="6" t="str">
        <f>IFERROR(VALUE(IFERROR(VLOOKUP($B5&amp;AH$1,Import!$P:$Q,2,FALSE),"")),IFERROR(VLOOKUP($B5&amp;AH$1,Import!$P:$Q,2,FALSE),""))</f>
        <v/>
      </c>
      <c r="AI5" s="6" t="str">
        <f>IFERROR(VALUE(IFERROR(VLOOKUP($B5&amp;AI$1,Import!$P:$Q,2,FALSE),"")),IFERROR(VLOOKUP($B5&amp;AI$1,Import!$P:$Q,2,FALSE),""))</f>
        <v/>
      </c>
      <c r="AJ5" s="6" t="str">
        <f>IFERROR(VALUE(IFERROR(VLOOKUP($B5&amp;AJ$1,Import!$P:$Q,2,FALSE),"")),IFERROR(VLOOKUP($B5&amp;AJ$1,Import!$P:$Q,2,FALSE),""))</f>
        <v/>
      </c>
      <c r="AK5" s="6" t="str">
        <f>IFERROR(VALUE(IFERROR(VLOOKUP($B5&amp;AK$1,Import!$P:$Q,2,FALSE),"")),IFERROR(VLOOKUP($B5&amp;AK$1,Import!$P:$Q,2,FALSE),""))</f>
        <v/>
      </c>
      <c r="AL5" s="6" t="str">
        <f>IFERROR(VALUE(IFERROR(VLOOKUP($B5&amp;AL$1,Import!$P:$Q,2,FALSE),"")),IFERROR(VLOOKUP($B5&amp;AL$1,Import!$P:$Q,2,FALSE),""))</f>
        <v/>
      </c>
      <c r="AM5" s="6" t="str">
        <f>IFERROR(VALUE(IFERROR(VLOOKUP($B5&amp;AM$1,Import!$P:$Q,2,FALSE),"")),IFERROR(VLOOKUP($B5&amp;AM$1,Import!$P:$Q,2,FALSE),""))</f>
        <v/>
      </c>
      <c r="AN5" s="7" t="str">
        <f>IFERROR(VLOOKUP($B5&amp;AN$1,Import!$P:$Q,2,FALSE),"")</f>
        <v/>
      </c>
      <c r="AO5" s="7" t="str">
        <f>IFERROR(VLOOKUP($B5&amp;AO$1,Import!$P:$Q,2,FALSE),"")</f>
        <v/>
      </c>
      <c r="AP5" s="6" t="str">
        <f>IFERROR(VLOOKUP($B5&amp;AP$1,Import!$P:$Q,2,FALSE),"")</f>
        <v/>
      </c>
    </row>
    <row r="6" spans="1:42" ht="180" x14ac:dyDescent="0.25">
      <c r="A6" s="6" t="str">
        <f>VLOOKUP(B6,IDS!$B:$D,2,FALSE)</f>
        <v>61747121-05d1-4216-8c22-06dcc958e7a3</v>
      </c>
      <c r="B6" s="6" t="str">
        <f>IDS!B6</f>
        <v>86a8cb61-a4d2-40f7-82a7-adfe5a835acd</v>
      </c>
      <c r="E6" s="6">
        <f>IFERROR(VALUE(IFERROR(VLOOKUP($B6&amp;E$1,Import!$N:$O,2,FALSE),"")),IFERROR(VLOOKUP($B6&amp;E$1,Import!$N:$O,2,FALSE),""))</f>
        <v>1</v>
      </c>
      <c r="F6" s="6" t="str">
        <f>IFERROR(VLOOKUP($B6&amp;F$1,Import!$N:$O,2,FALSE),"")</f>
        <v>Escape from Dol Guldur</v>
      </c>
      <c r="G6" s="6" t="str">
        <f>IDS!D6</f>
        <v>The Necromancer's Tower - 1A</v>
      </c>
      <c r="H6" s="6" t="str">
        <f>IFERROR(VLOOKUP($B6&amp;H$1,Import!$N:$O,2,FALSE),"")</f>
        <v/>
      </c>
      <c r="I6" s="6" t="str">
        <f>IFERROR(VLOOKUP($B6&amp;I$1,Import!$N:$O,2,FALSE),"")</f>
        <v>Quest</v>
      </c>
      <c r="J6" s="6" t="str">
        <f>IFERROR(VLOOKUP($B6&amp;J$1,Import!$N:$O,2,FALSE),"")</f>
        <v/>
      </c>
      <c r="K6" s="6" t="str">
        <f>IFERROR(VLOOKUP($B6&amp;K$1,Import!$N:$O,2,FALSE),"")</f>
        <v/>
      </c>
      <c r="L6" s="7" t="str">
        <f>IFERROR(VLOOKUP($B6&amp;L$1,Import!$N:$O,2,FALSE),"")</f>
        <v/>
      </c>
      <c r="M6" s="6" t="str">
        <f>IFERROR(VALUE(IFERROR(VLOOKUP($B6&amp;M$1,Import!$N:$O,2,FALSE),"")),IFERROR(VLOOKUP($B6&amp;M$1,Import!$N:$O,2,FALSE),""))</f>
        <v/>
      </c>
      <c r="N6" s="6" t="str">
        <f>IFERROR(VALUE(IFERROR(VLOOKUP($B6&amp;N$1,Import!$N:$O,2,FALSE),"")),IFERROR(VLOOKUP($B6&amp;N$1,Import!$N:$O,2,FALSE),""))</f>
        <v/>
      </c>
      <c r="O6" s="6" t="str">
        <f>IFERROR(VALUE(IFERROR(VLOOKUP($B6&amp;O$1,Import!$N:$O,2,FALSE),"")),IFERROR(VLOOKUP($B6&amp;O$1,Import!$N:$O,2,FALSE),""))</f>
        <v/>
      </c>
      <c r="P6" s="6" t="str">
        <f>IFERROR(VALUE(IFERROR(VLOOKUP($B6&amp;P$1,Import!$N:$O,2,FALSE),"")),IFERROR(VLOOKUP($B6&amp;P$1,Import!$N:$O,2,FALSE),""))</f>
        <v/>
      </c>
      <c r="Q6" s="6" t="str">
        <f>IFERROR(VALUE(IFERROR(VLOOKUP($B6&amp;Q$1,Import!$N:$O,2,FALSE),"")),IFERROR(VLOOKUP($B6&amp;Q$1,Import!$N:$O,2,FALSE),""))</f>
        <v/>
      </c>
      <c r="R6" s="6" t="str">
        <f>IFERROR(VALUE(IFERROR(VLOOKUP($B6&amp;R$1,Import!$N:$O,2,FALSE),"")),IFERROR(VLOOKUP($B6&amp;R$1,Import!$N:$O,2,FALSE),""))</f>
        <v/>
      </c>
      <c r="S6" s="6" t="str">
        <f>IFERROR(VALUE(IFERROR(VLOOKUP($B6&amp;S$1,Import!$N:$O,2,FALSE),"")),IFERROR(VLOOKUP($B6&amp;S$1,Import!$N:$O,2,FALSE),""))</f>
        <v/>
      </c>
      <c r="T6" s="6" t="str">
        <f>IFERROR(VALUE(IFERROR(VLOOKUP($B6&amp;T$1,Import!$N:$O,2,FALSE),"")),IFERROR(VLOOKUP($B6&amp;T$1,Import!$N:$O,2,FALSE),""))</f>
        <v/>
      </c>
      <c r="U6" s="6" t="str">
        <f>IFERROR(VALUE(IFERROR(VLOOKUP($B6&amp;U$1,Import!$N:$O,2,FALSE),"")),IFERROR(VLOOKUP($B6&amp;U$1,Import!$N:$O,2,FALSE),""))</f>
        <v/>
      </c>
      <c r="V6" s="7" t="str">
        <f>IFERROR(VLOOKUP($B6&amp;V$1,Import!$N:$O,2,FALSE),"")</f>
        <v>Setup: Search the encounter deck for the 3 objective cards, reveal and place them in the staging area. Also, place the Nazgul of Dol Guldur face up but out of play, alongside the quest deck. Then, shuffle the encounter deck, and attach 1 encounter to each objective card.</v>
      </c>
      <c r="W6" s="7" t="str">
        <f>IFERROR(VLOOKUP($B6&amp;W$1,Import!$N:$O,2,FALSE),"")</f>
        <v/>
      </c>
      <c r="X6" s="6" t="str">
        <f>IFERROR(VLOOKUP($B6&amp;X$1,Import!$N:$O,2,FALSE),"")</f>
        <v>ssst</v>
      </c>
      <c r="Y6" s="6" t="str">
        <f>IFERROR(VLOOKUP(B6,IDS!$F:$G,2,FALSE),"")</f>
        <v>The Necromancer's Tower - 1B</v>
      </c>
      <c r="Z6" s="6" t="str">
        <f>IFERROR(VLOOKUP($B6&amp;Z$1,Import!$P:$Q,2,FALSE),"")</f>
        <v/>
      </c>
      <c r="AA6" s="6" t="str">
        <f>IFERROR(VLOOKUP($B6&amp;AA$1,Import!$P:$Q,2,FALSE),"")</f>
        <v>Quest</v>
      </c>
      <c r="AB6" s="6" t="str">
        <f>IFERROR(VLOOKUP($B6&amp;AB$1,Import!$P:$Q,2,FALSE),"")</f>
        <v/>
      </c>
      <c r="AC6" s="6" t="str">
        <f>IFERROR(VLOOKUP($B6&amp;AC$1,Import!$P:$Q,2,FALSE),"")</f>
        <v/>
      </c>
      <c r="AD6" s="7" t="str">
        <f>IFERROR(VLOOKUP($B6&amp;AD$1,Import!$P:$Q,2,FALSE),"")</f>
        <v/>
      </c>
      <c r="AE6" s="6" t="str">
        <f>IFERROR(VALUE(IFERROR(VLOOKUP($B6&amp;AE$1,Import!$P:$Q,2,FALSE),"")),IFERROR(VLOOKUP($B6&amp;AE$1,Import!$P:$Q,2,FALSE),""))</f>
        <v/>
      </c>
      <c r="AF6" s="6" t="str">
        <f>IFERROR(VALUE(IFERROR(VLOOKUP($B6&amp;AF$1,Import!$P:$Q,2,FALSE),"")),IFERROR(VLOOKUP($B6&amp;AF$1,Import!$P:$Q,2,FALSE),""))</f>
        <v/>
      </c>
      <c r="AG6" s="6" t="str">
        <f>IFERROR(VALUE(IFERROR(VLOOKUP($B6&amp;AG$1,Import!$P:$Q,2,FALSE),"")),IFERROR(VLOOKUP($B6&amp;AG$1,Import!$P:$Q,2,FALSE),""))</f>
        <v/>
      </c>
      <c r="AH6" s="6" t="str">
        <f>IFERROR(VALUE(IFERROR(VLOOKUP($B6&amp;AH$1,Import!$P:$Q,2,FALSE),"")),IFERROR(VLOOKUP($B6&amp;AH$1,Import!$P:$Q,2,FALSE),""))</f>
        <v/>
      </c>
      <c r="AI6" s="6" t="str">
        <f>IFERROR(VALUE(IFERROR(VLOOKUP($B6&amp;AI$1,Import!$P:$Q,2,FALSE),"")),IFERROR(VLOOKUP($B6&amp;AI$1,Import!$P:$Q,2,FALSE),""))</f>
        <v/>
      </c>
      <c r="AJ6" s="6" t="str">
        <f>IFERROR(VALUE(IFERROR(VLOOKUP($B6&amp;AJ$1,Import!$P:$Q,2,FALSE),"")),IFERROR(VLOOKUP($B6&amp;AJ$1,Import!$P:$Q,2,FALSE),""))</f>
        <v/>
      </c>
      <c r="AK6" s="6" t="str">
        <f>IFERROR(VALUE(IFERROR(VLOOKUP($B6&amp;AK$1,Import!$P:$Q,2,FALSE),"")),IFERROR(VLOOKUP($B6&amp;AK$1,Import!$P:$Q,2,FALSE),""))</f>
        <v/>
      </c>
      <c r="AL6" s="6">
        <f>IFERROR(VALUE(IFERROR(VLOOKUP($B6&amp;AL$1,Import!$P:$Q,2,FALSE),"")),IFERROR(VLOOKUP($B6&amp;AL$1,Import!$P:$Q,2,FALSE),""))</f>
        <v>9</v>
      </c>
      <c r="AM6" s="6" t="str">
        <f>IFERROR(VALUE(IFERROR(VLOOKUP($B6&amp;AM$1,Import!$P:$Q,2,FALSE),"")),IFERROR(VLOOKUP($B6&amp;AM$1,Import!$P:$Q,2,FALSE),""))</f>
        <v/>
      </c>
      <c r="AN6" s="7" t="str">
        <f>IFERROR(VLOOKUP($B6&amp;AN$1,Import!$P:$Q,2,FALSE),"")</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c r="AO6" s="7" t="str">
        <f>IFERROR(VLOOKUP($B6&amp;AO$1,Import!$P:$Q,2,FALSE),"")</f>
        <v/>
      </c>
      <c r="AP6" s="6" t="str">
        <f>IFERROR(VLOOKUP($B6&amp;AP$1,Import!$P:$Q,2,FALSE),"")</f>
        <v/>
      </c>
    </row>
    <row r="7" spans="1:42" x14ac:dyDescent="0.25">
      <c r="Z7" s="6"/>
      <c r="AD7" s="7"/>
      <c r="AN7" s="7"/>
      <c r="AO7" s="7"/>
    </row>
    <row r="8" spans="1:42" x14ac:dyDescent="0.25">
      <c r="Z8" s="6"/>
      <c r="AD8" s="7"/>
      <c r="AN8" s="7"/>
    </row>
    <row r="9" spans="1:42" x14ac:dyDescent="0.25">
      <c r="Z9" s="6"/>
      <c r="AD9" s="7"/>
      <c r="AN9" s="7"/>
    </row>
    <row r="10" spans="1:42" x14ac:dyDescent="0.25">
      <c r="Z10" s="6"/>
      <c r="AD10" s="7"/>
      <c r="AN10" s="7"/>
    </row>
    <row r="11" spans="1:42" x14ac:dyDescent="0.25">
      <c r="Z11" s="6"/>
      <c r="AD11" s="7"/>
      <c r="AN11" s="7"/>
    </row>
    <row r="12" spans="1:42" x14ac:dyDescent="0.25">
      <c r="Z12" s="6"/>
      <c r="AD12" s="7"/>
      <c r="AN12" s="7"/>
    </row>
    <row r="13" spans="1:42" x14ac:dyDescent="0.25">
      <c r="Z13" s="6"/>
      <c r="AD13" s="7"/>
      <c r="AN13" s="7"/>
    </row>
    <row r="14" spans="1:42" x14ac:dyDescent="0.25">
      <c r="Z14" s="6"/>
      <c r="AD14" s="7"/>
      <c r="AN14" s="7"/>
    </row>
    <row r="15" spans="1:42" x14ac:dyDescent="0.25">
      <c r="Z15" s="6"/>
      <c r="AD15" s="7"/>
      <c r="AN15" s="7"/>
    </row>
    <row r="16" spans="1:42" x14ac:dyDescent="0.25">
      <c r="Z16" s="6"/>
      <c r="AD16" s="7"/>
      <c r="AN16" s="7"/>
    </row>
    <row r="17" spans="26:40" x14ac:dyDescent="0.25">
      <c r="Z17" s="6"/>
      <c r="AD17" s="7"/>
      <c r="AN17" s="7"/>
    </row>
    <row r="18" spans="26:40" x14ac:dyDescent="0.25">
      <c r="Z18" s="6"/>
      <c r="AD18" s="7"/>
      <c r="AN18" s="7"/>
    </row>
    <row r="19" spans="26:40" x14ac:dyDescent="0.25">
      <c r="Z19" s="6"/>
      <c r="AD19" s="7"/>
      <c r="AN19" s="7"/>
    </row>
    <row r="20" spans="26:40" x14ac:dyDescent="0.25">
      <c r="Z20" s="6"/>
      <c r="AD20" s="7"/>
      <c r="AN20" s="7"/>
    </row>
    <row r="21" spans="26:40" x14ac:dyDescent="0.25">
      <c r="Z21" s="6"/>
      <c r="AD21" s="7"/>
      <c r="AN21" s="7"/>
    </row>
    <row r="22" spans="26:40" x14ac:dyDescent="0.25">
      <c r="Z22" s="6"/>
      <c r="AD22" s="7"/>
      <c r="AN22" s="7"/>
    </row>
    <row r="23" spans="26:40" x14ac:dyDescent="0.25">
      <c r="Z23" s="6"/>
      <c r="AD23" s="7"/>
      <c r="AN23" s="7"/>
    </row>
    <row r="24" spans="26:40" x14ac:dyDescent="0.25">
      <c r="Z24" s="6"/>
      <c r="AD24" s="7"/>
      <c r="AN24" s="7"/>
    </row>
    <row r="25" spans="26:40" x14ac:dyDescent="0.25">
      <c r="Z25" s="6"/>
      <c r="AD25" s="7"/>
      <c r="AN25" s="7"/>
    </row>
    <row r="26" spans="26:40" x14ac:dyDescent="0.25">
      <c r="Z26" s="6"/>
      <c r="AD26" s="7"/>
      <c r="AN26" s="7"/>
    </row>
    <row r="27" spans="26:40" x14ac:dyDescent="0.25">
      <c r="Z27" s="6"/>
      <c r="AD27" s="7"/>
      <c r="AN27" s="7"/>
    </row>
    <row r="28" spans="26:40" x14ac:dyDescent="0.25">
      <c r="Z28" s="6"/>
      <c r="AD28" s="7"/>
      <c r="AN28" s="7"/>
    </row>
    <row r="29" spans="26:40" x14ac:dyDescent="0.25">
      <c r="Z29" s="6"/>
      <c r="AD29" s="7"/>
      <c r="AN29" s="7"/>
    </row>
    <row r="30" spans="26:40" x14ac:dyDescent="0.25">
      <c r="Z30" s="6"/>
      <c r="AD30" s="7"/>
      <c r="AN30" s="7"/>
    </row>
    <row r="31" spans="26:40" x14ac:dyDescent="0.25">
      <c r="Z31" s="6"/>
      <c r="AD31" s="7"/>
      <c r="AN31" s="7"/>
    </row>
    <row r="32" spans="26:40" x14ac:dyDescent="0.25">
      <c r="Z32" s="6"/>
      <c r="AD32" s="7"/>
      <c r="AN32" s="7"/>
    </row>
    <row r="33" spans="26:40" x14ac:dyDescent="0.25">
      <c r="Z33" s="6"/>
      <c r="AD33" s="7"/>
      <c r="AN33" s="7"/>
    </row>
    <row r="34" spans="26:40" x14ac:dyDescent="0.25">
      <c r="Z34" s="6"/>
      <c r="AD34" s="7"/>
      <c r="AN34" s="7"/>
    </row>
    <row r="35" spans="26:40" x14ac:dyDescent="0.25">
      <c r="Z35" s="6"/>
      <c r="AD35" s="7"/>
      <c r="AN35" s="7"/>
    </row>
    <row r="36" spans="26:40" x14ac:dyDescent="0.25">
      <c r="Z36" s="6"/>
      <c r="AD36" s="7"/>
      <c r="AN36" s="7"/>
    </row>
    <row r="37" spans="26:40" x14ac:dyDescent="0.25">
      <c r="Z37" s="6"/>
      <c r="AD37" s="7"/>
      <c r="AN37" s="7"/>
    </row>
    <row r="38" spans="26:40" x14ac:dyDescent="0.25">
      <c r="Z38" s="6"/>
      <c r="AD38" s="7"/>
      <c r="AN38" s="7"/>
    </row>
    <row r="39" spans="26:40" x14ac:dyDescent="0.25">
      <c r="Z39" s="6"/>
      <c r="AD39" s="7"/>
      <c r="AN39" s="7"/>
    </row>
    <row r="40" spans="26:40" x14ac:dyDescent="0.25">
      <c r="Z40" s="6"/>
      <c r="AD40" s="7"/>
      <c r="AN40" s="7"/>
    </row>
    <row r="41" spans="26:40" x14ac:dyDescent="0.25">
      <c r="Z41" s="6"/>
      <c r="AD41" s="7"/>
      <c r="AN41" s="7"/>
    </row>
    <row r="42" spans="26:40" x14ac:dyDescent="0.25">
      <c r="Z42" s="6"/>
      <c r="AD42" s="7"/>
      <c r="AN42" s="7"/>
    </row>
    <row r="43" spans="26:40" x14ac:dyDescent="0.25">
      <c r="Z43" s="6"/>
      <c r="AD43" s="7"/>
      <c r="AN43" s="7"/>
    </row>
    <row r="44" spans="26:40" x14ac:dyDescent="0.25">
      <c r="Z44" s="6"/>
      <c r="AD44" s="7"/>
      <c r="AN44" s="7"/>
    </row>
    <row r="45" spans="26:40" x14ac:dyDescent="0.25">
      <c r="Z45" s="6"/>
      <c r="AD45" s="7"/>
      <c r="AN45" s="7"/>
    </row>
    <row r="46" spans="26:40" x14ac:dyDescent="0.25">
      <c r="Z46" s="6"/>
      <c r="AD46" s="7"/>
      <c r="AN46" s="7"/>
    </row>
    <row r="47" spans="26:40" x14ac:dyDescent="0.25">
      <c r="Z47" s="6"/>
      <c r="AD47" s="7"/>
      <c r="AN47" s="7"/>
    </row>
    <row r="48" spans="26:40" x14ac:dyDescent="0.25">
      <c r="Z48" s="6"/>
      <c r="AD48" s="7"/>
      <c r="AN48" s="7"/>
    </row>
    <row r="49" spans="26:40" x14ac:dyDescent="0.25">
      <c r="Z49" s="6"/>
      <c r="AD49" s="7"/>
      <c r="AN49" s="7"/>
    </row>
    <row r="50" spans="26:40" x14ac:dyDescent="0.25">
      <c r="Z50" s="6"/>
      <c r="AD50" s="7"/>
      <c r="AN50" s="7"/>
    </row>
    <row r="51" spans="26:40" x14ac:dyDescent="0.25">
      <c r="Z51" s="6"/>
      <c r="AD51" s="7"/>
      <c r="AN51" s="7"/>
    </row>
    <row r="52" spans="26:40" x14ac:dyDescent="0.25">
      <c r="Z52" s="6"/>
      <c r="AD52" s="7"/>
      <c r="AN52" s="7"/>
    </row>
    <row r="53" spans="26:40" x14ac:dyDescent="0.25">
      <c r="Z53" s="6"/>
      <c r="AD53" s="7"/>
      <c r="AN53" s="7"/>
    </row>
    <row r="54" spans="26:40" x14ac:dyDescent="0.25">
      <c r="Z54" s="6"/>
      <c r="AD54" s="7"/>
      <c r="AN54" s="7"/>
    </row>
    <row r="55" spans="26:40" x14ac:dyDescent="0.25">
      <c r="Z55" s="6"/>
      <c r="AD55" s="7"/>
      <c r="AN55" s="7"/>
    </row>
    <row r="56" spans="26:40" x14ac:dyDescent="0.25">
      <c r="Z56" s="6"/>
      <c r="AD56" s="7"/>
      <c r="AN56" s="7"/>
    </row>
    <row r="57" spans="26:40" x14ac:dyDescent="0.25">
      <c r="Z57" s="6"/>
      <c r="AD57" s="7"/>
      <c r="AN57" s="7"/>
    </row>
    <row r="58" spans="26:40" x14ac:dyDescent="0.25">
      <c r="Z58" s="6"/>
      <c r="AD58" s="7"/>
      <c r="AN58" s="7"/>
    </row>
    <row r="59" spans="26:40" x14ac:dyDescent="0.25">
      <c r="Z59" s="6"/>
      <c r="AD59" s="7"/>
      <c r="AN59" s="7"/>
    </row>
    <row r="60" spans="26:40" x14ac:dyDescent="0.25">
      <c r="Z60" s="6"/>
      <c r="AD60" s="7"/>
      <c r="AN60" s="7"/>
    </row>
    <row r="61" spans="26:40" x14ac:dyDescent="0.25">
      <c r="Z61" s="6"/>
      <c r="AD61" s="7"/>
      <c r="AN61" s="7"/>
    </row>
    <row r="62" spans="26:40" x14ac:dyDescent="0.25">
      <c r="Z62" s="6"/>
      <c r="AD62" s="7"/>
      <c r="AN62" s="7"/>
    </row>
    <row r="63" spans="26:40" x14ac:dyDescent="0.25">
      <c r="Z63" s="6"/>
      <c r="AD63" s="7"/>
      <c r="AN63" s="7"/>
    </row>
    <row r="64" spans="26:40" x14ac:dyDescent="0.25">
      <c r="Z64" s="6"/>
      <c r="AD64" s="7"/>
      <c r="AN64" s="7"/>
    </row>
    <row r="65" spans="26:40" x14ac:dyDescent="0.25">
      <c r="Z65" s="6"/>
      <c r="AD65" s="7"/>
      <c r="AN65" s="7"/>
    </row>
    <row r="66" spans="26:40" x14ac:dyDescent="0.25">
      <c r="Z66" s="6"/>
      <c r="AD66" s="7"/>
      <c r="AN66" s="7"/>
    </row>
    <row r="67" spans="26:40" x14ac:dyDescent="0.25">
      <c r="Z67" s="6"/>
      <c r="AD67" s="7"/>
      <c r="AN67" s="7"/>
    </row>
    <row r="68" spans="26:40" x14ac:dyDescent="0.25">
      <c r="Z68" s="6"/>
      <c r="AD68" s="7"/>
      <c r="AN68" s="7"/>
    </row>
    <row r="69" spans="26:40" x14ac:dyDescent="0.25">
      <c r="Z69" s="6"/>
      <c r="AD69" s="7"/>
      <c r="AN69" s="7"/>
    </row>
    <row r="70" spans="26:40" x14ac:dyDescent="0.25">
      <c r="Z70" s="6"/>
      <c r="AD70" s="7"/>
      <c r="AN70" s="7"/>
    </row>
    <row r="71" spans="26:40" x14ac:dyDescent="0.25">
      <c r="Z71" s="6"/>
      <c r="AD71" s="7"/>
      <c r="AN71" s="7"/>
    </row>
    <row r="72" spans="26:40" x14ac:dyDescent="0.25">
      <c r="Z72" s="6"/>
      <c r="AD72" s="7"/>
      <c r="AN72" s="7"/>
    </row>
    <row r="73" spans="26:40" x14ac:dyDescent="0.25">
      <c r="Z73" s="6"/>
      <c r="AD73" s="7"/>
      <c r="AN73" s="7"/>
    </row>
    <row r="74" spans="26:40" x14ac:dyDescent="0.25">
      <c r="Z74" s="6"/>
      <c r="AD74" s="7"/>
      <c r="AN74" s="7"/>
    </row>
    <row r="75" spans="26:40" x14ac:dyDescent="0.25">
      <c r="Z75" s="6"/>
      <c r="AD75" s="7"/>
      <c r="AN75" s="7"/>
    </row>
    <row r="76" spans="26:40" x14ac:dyDescent="0.25">
      <c r="Z76" s="6"/>
      <c r="AD76" s="7"/>
      <c r="AN76" s="7"/>
    </row>
    <row r="77" spans="26:40" x14ac:dyDescent="0.25">
      <c r="Z77" s="6"/>
      <c r="AD77" s="7"/>
      <c r="AN77" s="7"/>
    </row>
    <row r="78" spans="26:40" x14ac:dyDescent="0.25">
      <c r="Z78" s="6"/>
      <c r="AD78" s="7"/>
      <c r="AN78" s="7"/>
    </row>
    <row r="79" spans="26:40" x14ac:dyDescent="0.25">
      <c r="Z79" s="6"/>
      <c r="AD79" s="7"/>
      <c r="AN79" s="7"/>
    </row>
    <row r="80" spans="26:40" x14ac:dyDescent="0.25">
      <c r="Z80" s="6"/>
      <c r="AD80" s="7"/>
      <c r="AN80" s="7"/>
    </row>
    <row r="81" spans="26:40" x14ac:dyDescent="0.25">
      <c r="Z81" s="6"/>
      <c r="AD81" s="7"/>
      <c r="AN81" s="7"/>
    </row>
    <row r="82" spans="26:40" x14ac:dyDescent="0.25">
      <c r="Z82" s="6"/>
      <c r="AD82" s="7"/>
      <c r="AN82" s="7"/>
    </row>
    <row r="83" spans="26:40" x14ac:dyDescent="0.25">
      <c r="Z83" s="6"/>
      <c r="AD83" s="7"/>
      <c r="AN83" s="7"/>
    </row>
    <row r="84" spans="26:40" x14ac:dyDescent="0.25">
      <c r="Z84" s="6"/>
      <c r="AD84" s="7"/>
      <c r="AN84" s="7"/>
    </row>
    <row r="85" spans="26:40" x14ac:dyDescent="0.25">
      <c r="Z85" s="6"/>
      <c r="AD85" s="7"/>
      <c r="AN85" s="7"/>
    </row>
    <row r="86" spans="26:40" x14ac:dyDescent="0.25">
      <c r="Z86" s="6"/>
      <c r="AD86" s="7"/>
      <c r="AN86" s="7"/>
    </row>
    <row r="87" spans="26:40" x14ac:dyDescent="0.25">
      <c r="Z87" s="6"/>
      <c r="AD87" s="7"/>
      <c r="AN87" s="7"/>
    </row>
    <row r="88" spans="26:40" x14ac:dyDescent="0.25">
      <c r="Z88" s="6"/>
      <c r="AD88" s="7"/>
      <c r="AN88" s="7"/>
    </row>
    <row r="89" spans="26:40" x14ac:dyDescent="0.25">
      <c r="Z89" s="6"/>
      <c r="AD89" s="7"/>
      <c r="AN89" s="7"/>
    </row>
    <row r="90" spans="26:40" x14ac:dyDescent="0.25">
      <c r="Z90" s="6"/>
      <c r="AD90" s="7"/>
      <c r="AN90" s="7"/>
    </row>
    <row r="91" spans="26:40" x14ac:dyDescent="0.25">
      <c r="Z91" s="6"/>
      <c r="AD91" s="7"/>
      <c r="AN91" s="7"/>
    </row>
    <row r="92" spans="26:40" x14ac:dyDescent="0.25">
      <c r="Z92" s="6"/>
      <c r="AD92" s="7"/>
      <c r="AN92" s="7"/>
    </row>
    <row r="93" spans="26:40" x14ac:dyDescent="0.25">
      <c r="Z93" s="6"/>
      <c r="AD93" s="7"/>
      <c r="AN93" s="7"/>
    </row>
    <row r="94" spans="26:40" x14ac:dyDescent="0.25">
      <c r="Z94" s="6"/>
      <c r="AD94" s="7"/>
      <c r="AN94" s="7"/>
    </row>
    <row r="95" spans="26:40" x14ac:dyDescent="0.25">
      <c r="Z95" s="6"/>
      <c r="AD95" s="7"/>
      <c r="AN95" s="7"/>
    </row>
    <row r="96" spans="26:40" x14ac:dyDescent="0.25">
      <c r="Z96" s="6"/>
      <c r="AD96" s="7"/>
      <c r="AN96" s="7"/>
    </row>
    <row r="97" spans="26:40" x14ac:dyDescent="0.25">
      <c r="Z97" s="6"/>
      <c r="AD97" s="7"/>
      <c r="AN97" s="7"/>
    </row>
    <row r="98" spans="26:40" x14ac:dyDescent="0.25">
      <c r="Z98" s="6"/>
      <c r="AD98" s="7"/>
      <c r="AN98" s="7"/>
    </row>
    <row r="99" spans="26:40" x14ac:dyDescent="0.25">
      <c r="Z99" s="6"/>
      <c r="AD99" s="7"/>
      <c r="AN99" s="7"/>
    </row>
    <row r="100" spans="26:40" x14ac:dyDescent="0.25">
      <c r="Z100" s="6"/>
      <c r="AD100" s="7"/>
      <c r="AN100" s="7"/>
    </row>
    <row r="101" spans="26:40" x14ac:dyDescent="0.25">
      <c r="Z101" s="6"/>
      <c r="AD101" s="7"/>
      <c r="AN101" s="7"/>
    </row>
    <row r="102" spans="26:40" x14ac:dyDescent="0.25">
      <c r="Z102" s="6"/>
      <c r="AD102" s="7"/>
      <c r="AN102" s="7"/>
    </row>
    <row r="103" spans="26:40" x14ac:dyDescent="0.25">
      <c r="Z103" s="6"/>
      <c r="AD103" s="7"/>
      <c r="AN103" s="7"/>
    </row>
    <row r="104" spans="26:40" x14ac:dyDescent="0.25">
      <c r="Z104" s="6"/>
      <c r="AD104" s="7"/>
      <c r="AN104" s="7"/>
    </row>
    <row r="105" spans="26:40" x14ac:dyDescent="0.25">
      <c r="Z105" s="6"/>
      <c r="AD105" s="7"/>
      <c r="AN105" s="7"/>
    </row>
    <row r="106" spans="26:40" x14ac:dyDescent="0.25">
      <c r="Z106" s="6"/>
      <c r="AD106" s="7"/>
      <c r="AN106" s="7"/>
    </row>
    <row r="107" spans="26:40" x14ac:dyDescent="0.25">
      <c r="Z107" s="6"/>
      <c r="AD107" s="7"/>
      <c r="AN107" s="7"/>
    </row>
    <row r="108" spans="26:40" x14ac:dyDescent="0.25">
      <c r="Z108" s="6"/>
      <c r="AD108" s="7"/>
      <c r="AN108" s="7"/>
    </row>
    <row r="109" spans="26:40" x14ac:dyDescent="0.25">
      <c r="Z109" s="6"/>
      <c r="AD109" s="7"/>
      <c r="AN109" s="7"/>
    </row>
    <row r="110" spans="26:40" x14ac:dyDescent="0.25">
      <c r="Z110" s="6"/>
      <c r="AD110" s="7"/>
      <c r="AN110" s="7"/>
    </row>
    <row r="111" spans="26:40" x14ac:dyDescent="0.25">
      <c r="Z111" s="6"/>
      <c r="AD111" s="7"/>
      <c r="AN111" s="7"/>
    </row>
    <row r="112" spans="26:40" x14ac:dyDescent="0.25">
      <c r="Z112" s="6"/>
      <c r="AD112" s="7"/>
      <c r="AN112" s="7"/>
    </row>
    <row r="113" spans="26:40" x14ac:dyDescent="0.25">
      <c r="Z113" s="6"/>
      <c r="AD113" s="7"/>
      <c r="AN113" s="7"/>
    </row>
    <row r="114" spans="26:40" x14ac:dyDescent="0.25">
      <c r="Z114" s="6"/>
      <c r="AD114" s="7"/>
      <c r="AN114" s="7"/>
    </row>
    <row r="115" spans="26:40" x14ac:dyDescent="0.25">
      <c r="Z115" s="6"/>
      <c r="AD115" s="7"/>
      <c r="AN115" s="7"/>
    </row>
    <row r="116" spans="26:40" x14ac:dyDescent="0.25">
      <c r="Z116" s="6"/>
      <c r="AD116" s="7"/>
      <c r="AN116" s="7"/>
    </row>
    <row r="117" spans="26:40" x14ac:dyDescent="0.25">
      <c r="Z117" s="6"/>
      <c r="AD117" s="7"/>
      <c r="AN117" s="7"/>
    </row>
    <row r="118" spans="26:40" x14ac:dyDescent="0.25">
      <c r="Z118" s="6"/>
      <c r="AD118" s="7"/>
      <c r="AN118" s="7"/>
    </row>
    <row r="119" spans="26:40" x14ac:dyDescent="0.25">
      <c r="Z119" s="6"/>
      <c r="AD119" s="7"/>
      <c r="AN119" s="7"/>
    </row>
    <row r="120" spans="26:40" x14ac:dyDescent="0.25">
      <c r="Z120" s="6"/>
      <c r="AD120" s="7"/>
      <c r="AN120" s="7"/>
    </row>
    <row r="121" spans="26:40" x14ac:dyDescent="0.25">
      <c r="Z121" s="6"/>
      <c r="AD121" s="7"/>
      <c r="AN121" s="7"/>
    </row>
    <row r="122" spans="26:40" x14ac:dyDescent="0.25">
      <c r="Z122" s="6"/>
      <c r="AD122" s="7"/>
      <c r="AN122" s="7"/>
    </row>
    <row r="123" spans="26:40" x14ac:dyDescent="0.25">
      <c r="Z123" s="6"/>
      <c r="AD123" s="7"/>
      <c r="AN123" s="7"/>
    </row>
    <row r="124" spans="26:40" x14ac:dyDescent="0.25">
      <c r="Z124" s="6"/>
      <c r="AD124" s="7"/>
      <c r="AN124" s="7"/>
    </row>
    <row r="125" spans="26:40" x14ac:dyDescent="0.25">
      <c r="Z125" s="6"/>
      <c r="AD125" s="7"/>
      <c r="AN125" s="7"/>
    </row>
    <row r="126" spans="26:40" x14ac:dyDescent="0.25">
      <c r="Z126" s="6"/>
      <c r="AD126" s="7"/>
      <c r="AN126" s="7"/>
    </row>
    <row r="127" spans="26:40" x14ac:dyDescent="0.25">
      <c r="Z127" s="6"/>
      <c r="AD127" s="7"/>
      <c r="AN127" s="7"/>
    </row>
    <row r="128" spans="26:40" x14ac:dyDescent="0.25">
      <c r="Z128" s="6"/>
      <c r="AD128" s="7"/>
      <c r="AN128" s="7"/>
    </row>
    <row r="129" spans="26:40" x14ac:dyDescent="0.25">
      <c r="Z129" s="6"/>
      <c r="AD129" s="7"/>
      <c r="AN129" s="7"/>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I3"/>
  <sheetViews>
    <sheetView workbookViewId="0">
      <selection activeCell="B3" sqref="B3"/>
    </sheetView>
  </sheetViews>
  <sheetFormatPr defaultRowHeight="15" x14ac:dyDescent="0.25"/>
  <cols>
    <col min="1" max="1" width="36.7109375" style="21" bestFit="1" customWidth="1"/>
    <col min="2" max="2" width="32.42578125" style="21" bestFit="1" customWidth="1"/>
    <col min="3" max="3" width="9.140625" style="21"/>
    <col min="4" max="4" width="3.7109375" style="21" customWidth="1"/>
    <col min="5" max="5" width="10.85546875" style="21" bestFit="1" customWidth="1"/>
    <col min="6" max="6" width="10.85546875" style="21" customWidth="1"/>
    <col min="7" max="7" width="9.7109375" style="21" bestFit="1" customWidth="1"/>
    <col min="8" max="8" width="12.28515625" style="21" bestFit="1" customWidth="1"/>
    <col min="9" max="9" width="9.140625" style="21"/>
    <col min="10" max="10" width="3.140625" style="21" customWidth="1"/>
    <col min="11" max="17" width="9.140625" style="21"/>
    <col min="18" max="18" width="3.140625" style="21" customWidth="1"/>
    <col min="19" max="23" width="9.140625" style="21"/>
    <col min="24" max="24" width="2.5703125" style="21" customWidth="1"/>
    <col min="25" max="16384" width="9.140625" style="21"/>
  </cols>
  <sheetData>
    <row r="1" spans="1:35" x14ac:dyDescent="0.25">
      <c r="A1" s="18" t="s">
        <v>13</v>
      </c>
      <c r="B1" s="19" t="s">
        <v>114</v>
      </c>
      <c r="C1" s="20" t="s">
        <v>56</v>
      </c>
      <c r="E1" s="66" t="s">
        <v>141</v>
      </c>
      <c r="F1" s="67"/>
      <c r="G1" s="67"/>
      <c r="H1" s="67"/>
      <c r="I1" s="68"/>
      <c r="J1" s="35"/>
      <c r="K1" s="65" t="s">
        <v>14</v>
      </c>
      <c r="L1" s="65"/>
      <c r="M1" s="65"/>
      <c r="N1" s="65"/>
      <c r="O1" s="65"/>
      <c r="P1" s="65"/>
      <c r="Q1" s="65"/>
      <c r="R1" s="32"/>
      <c r="S1" s="65" t="s">
        <v>15</v>
      </c>
      <c r="T1" s="65"/>
      <c r="U1" s="65"/>
      <c r="V1" s="65"/>
      <c r="W1" s="65"/>
      <c r="X1" s="32"/>
      <c r="Y1" s="65" t="s">
        <v>117</v>
      </c>
      <c r="Z1" s="65"/>
      <c r="AA1" s="65"/>
      <c r="AB1" s="65"/>
      <c r="AC1" s="65"/>
      <c r="AD1" s="65"/>
      <c r="AE1" s="65"/>
      <c r="AF1" s="65"/>
      <c r="AG1" s="65"/>
      <c r="AH1" s="65"/>
      <c r="AI1" s="65"/>
    </row>
    <row r="2" spans="1:35" x14ac:dyDescent="0.25">
      <c r="A2" s="23" t="s">
        <v>112</v>
      </c>
      <c r="B2" s="23" t="s">
        <v>113</v>
      </c>
      <c r="C2" s="23" t="s">
        <v>4</v>
      </c>
      <c r="E2" s="33" t="s">
        <v>137</v>
      </c>
      <c r="F2" s="33" t="s">
        <v>140</v>
      </c>
      <c r="G2" s="33" t="s">
        <v>138</v>
      </c>
      <c r="H2" s="33" t="s">
        <v>139</v>
      </c>
      <c r="I2" s="33" t="s">
        <v>44</v>
      </c>
      <c r="J2" s="33"/>
      <c r="K2" s="33" t="s">
        <v>33</v>
      </c>
      <c r="L2" s="33" t="s">
        <v>130</v>
      </c>
      <c r="M2" s="33" t="s">
        <v>41</v>
      </c>
      <c r="N2" s="33" t="s">
        <v>131</v>
      </c>
      <c r="O2" s="33" t="s">
        <v>42</v>
      </c>
      <c r="P2" s="33" t="s">
        <v>43</v>
      </c>
      <c r="Q2" s="33" t="s">
        <v>129</v>
      </c>
      <c r="R2" s="33"/>
      <c r="S2" s="33" t="s">
        <v>34</v>
      </c>
      <c r="T2" s="33" t="s">
        <v>133</v>
      </c>
      <c r="U2" s="33" t="s">
        <v>132</v>
      </c>
      <c r="V2" s="33" t="s">
        <v>39</v>
      </c>
      <c r="W2" s="33" t="s">
        <v>134</v>
      </c>
      <c r="X2" s="33"/>
      <c r="Y2" s="33" t="s">
        <v>118</v>
      </c>
      <c r="Z2" s="33" t="s">
        <v>119</v>
      </c>
      <c r="AA2" s="33" t="s">
        <v>120</v>
      </c>
      <c r="AB2" s="33" t="s">
        <v>121</v>
      </c>
      <c r="AC2" s="33" t="s">
        <v>122</v>
      </c>
      <c r="AD2" s="33" t="s">
        <v>123</v>
      </c>
      <c r="AE2" s="33" t="s">
        <v>124</v>
      </c>
      <c r="AF2" s="33" t="s">
        <v>125</v>
      </c>
      <c r="AG2" s="33" t="s">
        <v>126</v>
      </c>
      <c r="AH2" s="33" t="s">
        <v>127</v>
      </c>
      <c r="AI2" s="33" t="s">
        <v>128</v>
      </c>
    </row>
    <row r="3" spans="1:35" x14ac:dyDescent="0.25">
      <c r="A3" s="21" t="s">
        <v>179</v>
      </c>
      <c r="B3" s="21" t="s">
        <v>143</v>
      </c>
      <c r="C3" s="22" t="s">
        <v>79</v>
      </c>
      <c r="E3" s="34">
        <f>SUMIF('Card Data'!$A:$A,$A3,'Card Data'!$E:$E)</f>
        <v>23</v>
      </c>
      <c r="F3" s="34">
        <f>COUNTIFS('Card Data'!$I:$I,K$2,'Card Data'!$A:$A,$A3)</f>
        <v>1</v>
      </c>
      <c r="G3" s="34">
        <f>SUMIFS('Card Data'!$E:$E,'Card Data'!$A:$A,$A3,'Card Data'!$J:$J,"&lt;&gt;",'Card Data'!$I:$I,"&lt;&gt;Hero")</f>
        <v>12</v>
      </c>
      <c r="H3" s="34">
        <f>SUMIFS('Card Data'!$E:$E,'Card Data'!$A:$A,$A3,'Card Data'!$J:$J,"")-I3</f>
        <v>7</v>
      </c>
      <c r="I3" s="34">
        <f>COUNTIFS('Card Data'!$I:$I,I$2,'Card Data'!$A:$A,$A3,'Card Data'!$K:$K,"&lt;&gt;*Side Quest.*")</f>
        <v>3</v>
      </c>
      <c r="J3" s="34"/>
      <c r="K3" s="34">
        <f>COUNTIFS('Card Data'!$I:$I,K$2,'Card Data'!$A:$A,$A3)</f>
        <v>1</v>
      </c>
      <c r="L3" s="34">
        <f>COUNTIFS('Card Data'!$I:$I,L$2,'Card Data'!$A:$A,$A3)</f>
        <v>2</v>
      </c>
      <c r="M3" s="34">
        <f>COUNTIFS('Card Data'!$I:$I,M$2,'Card Data'!$A:$A,$A3)</f>
        <v>1</v>
      </c>
      <c r="N3" s="34">
        <f>COUNTIFS('Card Data'!$I:$I,N$2,'Card Data'!$A:$A,$A3)</f>
        <v>1</v>
      </c>
      <c r="O3" s="34">
        <f>COUNTIFS('Card Data'!$I:$I,O$2,'Card Data'!$A:$A,$A3)</f>
        <v>1</v>
      </c>
      <c r="P3" s="34">
        <f>COUNTIFS('Card Data'!$I:$I,P$2,'Card Data'!$A:$A,$A3)</f>
        <v>1</v>
      </c>
      <c r="Q3" s="34">
        <f>COUNTIFS('Card Data'!$I:$I,Q$2,'Card Data'!$A:$A,$A3)</f>
        <v>1</v>
      </c>
      <c r="R3" s="34"/>
      <c r="S3" s="34">
        <f>COUNTIFS('Card Data'!$J:$J,S$2,'Card Data'!$A:$A,$A3)</f>
        <v>1</v>
      </c>
      <c r="T3" s="34">
        <f>COUNTIFS('Card Data'!$J:$J,T$2,'Card Data'!$A:$A,$A3)</f>
        <v>1</v>
      </c>
      <c r="U3" s="34">
        <f>COUNTIFS('Card Data'!$J:$J,U$2,'Card Data'!$A:$A,$A3)</f>
        <v>1</v>
      </c>
      <c r="V3" s="34">
        <f>COUNTIFS('Card Data'!$J:$J,V$2,'Card Data'!$A:$A,$A3)</f>
        <v>1</v>
      </c>
      <c r="W3" s="34">
        <f>COUNTIFS('Card Data'!$J:$J,W$2,'Card Data'!$A:$A,$A3)</f>
        <v>1</v>
      </c>
      <c r="X3" s="34"/>
      <c r="Y3" s="34" t="str">
        <f>IF(COUNTIFS('Card Data'!$K:$K,"*"&amp;Y$2&amp;".*",'Card Data'!$A:$A,$A3)=0,"",IF(COUNTIFS('Card Data'!$K:$K,"*"&amp;Y$2&amp;".*",'Card Data'!$A:$A,$A3,'Card Data'!$I:$I,"Hero")=0,COUNTIFS('Card Data'!$K:$K,"*"&amp;Y$2&amp;".*",'Card Data'!$A:$A,$A3),COUNTIFS('Card Data'!$K:$K,"*"&amp;Y$2&amp;".*",'Card Data'!$A:$A,$A3)&amp;" ("&amp;COUNTIFS('Card Data'!$K:$K,"*"&amp;Y$2&amp;".*",'Card Data'!$A:$A,$A3,'Card Data'!$I:$I,"Hero")&amp;")"))</f>
        <v/>
      </c>
      <c r="Z3" s="34">
        <f>IF(COUNTIFS('Card Data'!$K:$K,"*"&amp;Z$2&amp;".*",'Card Data'!$A:$A,$A3)=0,"",IF(COUNTIFS('Card Data'!$K:$K,"*"&amp;Z$2&amp;".*",'Card Data'!$A:$A,$A3,'Card Data'!$I:$I,"Hero")=0,COUNTIFS('Card Data'!$K:$K,"*"&amp;Z$2&amp;".*",'Card Data'!$A:$A,$A3),COUNTIFS('Card Data'!$K:$K,"*"&amp;Z$2&amp;".*",'Card Data'!$A:$A,$A3)&amp;" ("&amp;COUNTIFS('Card Data'!$K:$K,"*"&amp;Z$2&amp;".*",'Card Data'!$A:$A,$A3,'Card Data'!$I:$I,"Hero")&amp;")"))</f>
        <v>1</v>
      </c>
      <c r="AA3" s="34" t="str">
        <f>IF(COUNTIFS('Card Data'!$K:$K,"*"&amp;AA$2&amp;".*",'Card Data'!$A:$A,$A3)=0,"",IF(COUNTIFS('Card Data'!$K:$K,"*"&amp;AA$2&amp;".*",'Card Data'!$A:$A,$A3,'Card Data'!$I:$I,"Hero")=0,COUNTIFS('Card Data'!$K:$K,"*"&amp;AA$2&amp;".*",'Card Data'!$A:$A,$A3),COUNTIFS('Card Data'!$K:$K,"*"&amp;AA$2&amp;".*",'Card Data'!$A:$A,$A3)&amp;" ("&amp;COUNTIFS('Card Data'!$K:$K,"*"&amp;AA$2&amp;".*",'Card Data'!$A:$A,$A3,'Card Data'!$I:$I,"Hero")&amp;")"))</f>
        <v/>
      </c>
      <c r="AB3" s="34" t="str">
        <f>IF(COUNTIFS('Card Data'!$K:$K,"*"&amp;AB$2&amp;".*",'Card Data'!$A:$A,$A3)=0,"",IF(COUNTIFS('Card Data'!$K:$K,"*"&amp;AB$2&amp;".*",'Card Data'!$A:$A,$A3,'Card Data'!$I:$I,"Hero")=0,COUNTIFS('Card Data'!$K:$K,"*"&amp;AB$2&amp;".*",'Card Data'!$A:$A,$A3),COUNTIFS('Card Data'!$K:$K,"*"&amp;AB$2&amp;".*",'Card Data'!$A:$A,$A3)&amp;" ("&amp;COUNTIFS('Card Data'!$K:$K,"*"&amp;AB$2&amp;".*",'Card Data'!$A:$A,$A3,'Card Data'!$I:$I,"Hero")&amp;")"))</f>
        <v/>
      </c>
      <c r="AC3" s="34" t="str">
        <f>IF(COUNTIFS('Card Data'!$K:$K,"*"&amp;AC$2&amp;".*",'Card Data'!$A:$A,$A3)=0,"",IF(COUNTIFS('Card Data'!$K:$K,"*"&amp;AC$2&amp;".*",'Card Data'!$A:$A,$A3,'Card Data'!$I:$I,"Hero")=0,COUNTIFS('Card Data'!$K:$K,"*"&amp;AC$2&amp;".*",'Card Data'!$A:$A,$A3),COUNTIFS('Card Data'!$K:$K,"*"&amp;AC$2&amp;".*",'Card Data'!$A:$A,$A3)&amp;" ("&amp;COUNTIFS('Card Data'!$K:$K,"*"&amp;AC$2&amp;".*",'Card Data'!$A:$A,$A3,'Card Data'!$I:$I,"Hero")&amp;")"))</f>
        <v/>
      </c>
      <c r="AD3" s="34" t="str">
        <f>IF(COUNTIFS('Card Data'!$K:$K,"*"&amp;AD$2&amp;".*",'Card Data'!$A:$A,$A3)=0,"",IF(COUNTIFS('Card Data'!$K:$K,"*"&amp;AD$2&amp;".*",'Card Data'!$A:$A,$A3,'Card Data'!$I:$I,"Hero")=0,COUNTIFS('Card Data'!$K:$K,"*"&amp;AD$2&amp;".*",'Card Data'!$A:$A,$A3),COUNTIFS('Card Data'!$K:$K,"*"&amp;AD$2&amp;".*",'Card Data'!$A:$A,$A3)&amp;" ("&amp;COUNTIFS('Card Data'!$K:$K,"*"&amp;AD$2&amp;".*",'Card Data'!$A:$A,$A3,'Card Data'!$I:$I,"Hero")&amp;")"))</f>
        <v/>
      </c>
      <c r="AE3" s="34" t="str">
        <f>IF(COUNTIFS('Card Data'!$K:$K,"*"&amp;AE$2&amp;".*",'Card Data'!$A:$A,$A3)=0,"",IF(COUNTIFS('Card Data'!$K:$K,"*"&amp;AE$2&amp;".*",'Card Data'!$A:$A,$A3,'Card Data'!$I:$I,"Hero")=0,COUNTIFS('Card Data'!$K:$K,"*"&amp;AE$2&amp;".*",'Card Data'!$A:$A,$A3),COUNTIFS('Card Data'!$K:$K,"*"&amp;AE$2&amp;".*",'Card Data'!$A:$A,$A3)&amp;" ("&amp;COUNTIFS('Card Data'!$K:$K,"*"&amp;AE$2&amp;".*",'Card Data'!$A:$A,$A3,'Card Data'!$I:$I,"Hero")&amp;")"))</f>
        <v/>
      </c>
      <c r="AF3" s="34" t="str">
        <f>IF(COUNTIFS('Card Data'!$K:$K,"*"&amp;AF$2&amp;".*",'Card Data'!$A:$A,$A3)=0,"",IF(COUNTIFS('Card Data'!$K:$K,"*"&amp;AF$2&amp;".*",'Card Data'!$A:$A,$A3,'Card Data'!$I:$I,"Hero")=0,COUNTIFS('Card Data'!$K:$K,"*"&amp;AF$2&amp;".*",'Card Data'!$A:$A,$A3),COUNTIFS('Card Data'!$K:$K,"*"&amp;AF$2&amp;".*",'Card Data'!$A:$A,$A3)&amp;" ("&amp;COUNTIFS('Card Data'!$K:$K,"*"&amp;AF$2&amp;".*",'Card Data'!$A:$A,$A3,'Card Data'!$I:$I,"Hero")&amp;")"))</f>
        <v/>
      </c>
      <c r="AG3" s="34" t="str">
        <f>IF(COUNTIFS('Card Data'!$K:$K,"*"&amp;AG$2&amp;".*",'Card Data'!$A:$A,$A3)=0,"",IF(COUNTIFS('Card Data'!$K:$K,"*"&amp;AG$2&amp;".*",'Card Data'!$A:$A,$A3,'Card Data'!$I:$I,"Hero")=0,COUNTIFS('Card Data'!$K:$K,"*"&amp;AG$2&amp;".*",'Card Data'!$A:$A,$A3),COUNTIFS('Card Data'!$K:$K,"*"&amp;AG$2&amp;".*",'Card Data'!$A:$A,$A3)&amp;" ("&amp;COUNTIFS('Card Data'!$K:$K,"*"&amp;AG$2&amp;".*",'Card Data'!$A:$A,$A3,'Card Data'!$I:$I,"Hero")&amp;")"))</f>
        <v>1 (1)</v>
      </c>
      <c r="AH3" s="34" t="str">
        <f>IF(COUNTIFS('Card Data'!$K:$K,"*"&amp;AH$2&amp;".*",'Card Data'!$A:$A,$A3)=0,"",IF(COUNTIFS('Card Data'!$K:$K,"*"&amp;AH$2&amp;".*",'Card Data'!$A:$A,$A3,'Card Data'!$I:$I,"Hero")=0,COUNTIFS('Card Data'!$K:$K,"*"&amp;AH$2&amp;".*",'Card Data'!$A:$A,$A3),COUNTIFS('Card Data'!$K:$K,"*"&amp;AH$2&amp;".*",'Card Data'!$A:$A,$A3)&amp;" ("&amp;COUNTIFS('Card Data'!$K:$K,"*"&amp;AH$2&amp;".*",'Card Data'!$A:$A,$A3,'Card Data'!$I:$I,"Hero")&amp;")"))</f>
        <v>1 (1)</v>
      </c>
      <c r="AI3" s="34" t="str">
        <f>IF(COUNTIFS('Card Data'!$K:$K,"*"&amp;AI$2&amp;".*",'Card Data'!$A:$A,$A3)=0,"",IF(COUNTIFS('Card Data'!$K:$K,"*"&amp;AI$2&amp;".*",'Card Data'!$A:$A,$A3,'Card Data'!$I:$I,"Hero")=0,COUNTIFS('Card Data'!$K:$K,"*"&amp;AI$2&amp;".*",'Card Data'!$A:$A,$A3),COUNTIFS('Card Data'!$K:$K,"*"&amp;AI$2&amp;".*",'Card Data'!$A:$A,$A3)&amp;" ("&amp;COUNTIFS('Card Data'!$K:$K,"*"&amp;AI$2&amp;".*",'Card Data'!$A:$A,$A3,'Card Data'!$I:$I,"Hero")&amp;")"))</f>
        <v/>
      </c>
    </row>
  </sheetData>
  <mergeCells count="4">
    <mergeCell ref="Y1:AI1"/>
    <mergeCell ref="K1:Q1"/>
    <mergeCell ref="S1:W1"/>
    <mergeCell ref="E1:I1"/>
  </mergeCells>
  <conditionalFormatting sqref="S2">
    <cfRule type="cellIs" dxfId="90" priority="29" operator="equal">
      <formula>"Fellowship"</formula>
    </cfRule>
    <cfRule type="cellIs" dxfId="89" priority="30" operator="equal">
      <formula>"Neutral"</formula>
    </cfRule>
    <cfRule type="cellIs" dxfId="88" priority="31" operator="equal">
      <formula>"Baggins"</formula>
    </cfRule>
    <cfRule type="cellIs" dxfId="87" priority="32" operator="equal">
      <formula>"Lore"</formula>
    </cfRule>
    <cfRule type="cellIs" dxfId="86" priority="33" operator="equal">
      <formula>"Spirit"</formula>
    </cfRule>
    <cfRule type="cellIs" dxfId="85" priority="34" operator="equal">
      <formula>"Tactics"</formula>
    </cfRule>
    <cfRule type="cellIs" dxfId="84" priority="35" operator="equal">
      <formula>"Leadership"</formula>
    </cfRule>
  </conditionalFormatting>
  <conditionalFormatting sqref="T2">
    <cfRule type="cellIs" dxfId="83" priority="22" operator="equal">
      <formula>"Fellowship"</formula>
    </cfRule>
    <cfRule type="cellIs" dxfId="82" priority="23" operator="equal">
      <formula>"Neutral"</formula>
    </cfRule>
    <cfRule type="cellIs" dxfId="81" priority="24" operator="equal">
      <formula>"Baggins"</formula>
    </cfRule>
    <cfRule type="cellIs" dxfId="80" priority="25" operator="equal">
      <formula>"Lore"</formula>
    </cfRule>
    <cfRule type="cellIs" dxfId="79" priority="26" operator="equal">
      <formula>"Spirit"</formula>
    </cfRule>
    <cfRule type="cellIs" dxfId="78" priority="27" operator="equal">
      <formula>"Tactics"</formula>
    </cfRule>
    <cfRule type="cellIs" dxfId="77" priority="28" operator="equal">
      <formula>"Leadership"</formula>
    </cfRule>
  </conditionalFormatting>
  <conditionalFormatting sqref="U2">
    <cfRule type="cellIs" dxfId="76" priority="15" operator="equal">
      <formula>"Fellowship"</formula>
    </cfRule>
    <cfRule type="cellIs" dxfId="75" priority="16" operator="equal">
      <formula>"Neutral"</formula>
    </cfRule>
    <cfRule type="cellIs" dxfId="74" priority="17" operator="equal">
      <formula>"Baggins"</formula>
    </cfRule>
    <cfRule type="cellIs" dxfId="73" priority="18" operator="equal">
      <formula>"Lore"</formula>
    </cfRule>
    <cfRule type="cellIs" dxfId="72" priority="19" operator="equal">
      <formula>"Spirit"</formula>
    </cfRule>
    <cfRule type="cellIs" dxfId="71" priority="20" operator="equal">
      <formula>"Tactics"</formula>
    </cfRule>
    <cfRule type="cellIs" dxfId="70" priority="21" operator="equal">
      <formula>"Leadership"</formula>
    </cfRule>
  </conditionalFormatting>
  <conditionalFormatting sqref="V2">
    <cfRule type="cellIs" dxfId="69" priority="8" operator="equal">
      <formula>"Fellowship"</formula>
    </cfRule>
    <cfRule type="cellIs" dxfId="68" priority="9" operator="equal">
      <formula>"Neutral"</formula>
    </cfRule>
    <cfRule type="cellIs" dxfId="67" priority="10" operator="equal">
      <formula>"Baggins"</formula>
    </cfRule>
    <cfRule type="cellIs" dxfId="66" priority="11" operator="equal">
      <formula>"Lore"</formula>
    </cfRule>
    <cfRule type="cellIs" dxfId="65" priority="12" operator="equal">
      <formula>"Spirit"</formula>
    </cfRule>
    <cfRule type="cellIs" dxfId="64" priority="13" operator="equal">
      <formula>"Tactics"</formula>
    </cfRule>
    <cfRule type="cellIs" dxfId="63" priority="14" operator="equal">
      <formula>"Leadership"</formula>
    </cfRule>
  </conditionalFormatting>
  <conditionalFormatting sqref="W2">
    <cfRule type="cellIs" dxfId="62" priority="1" operator="equal">
      <formula>"Fellowship"</formula>
    </cfRule>
    <cfRule type="cellIs" dxfId="61" priority="2" operator="equal">
      <formula>"Neutral"</formula>
    </cfRule>
    <cfRule type="cellIs" dxfId="60" priority="3" operator="equal">
      <formula>"Baggins"</formula>
    </cfRule>
    <cfRule type="cellIs" dxfId="59" priority="4" operator="equal">
      <formula>"Lore"</formula>
    </cfRule>
    <cfRule type="cellIs" dxfId="58" priority="5" operator="equal">
      <formula>"Spirit"</formula>
    </cfRule>
    <cfRule type="cellIs" dxfId="57" priority="6" operator="equal">
      <formula>"Tactics"</formula>
    </cfRule>
    <cfRule type="cellIs" dxfId="56" priority="7" operator="equal">
      <formula>"Leadership"</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Q1755"/>
  <sheetViews>
    <sheetView tabSelected="1" workbookViewId="0">
      <pane xSplit="7" ySplit="1" topLeftCell="H2" activePane="bottomRight" state="frozen"/>
      <selection pane="topRight" activeCell="F1" sqref="F1"/>
      <selection pane="bottomLeft" activeCell="A2" sqref="A2"/>
      <selection pane="bottomRight" activeCell="G2" sqref="G2"/>
    </sheetView>
  </sheetViews>
  <sheetFormatPr defaultRowHeight="12" outlineLevelCol="1" x14ac:dyDescent="0.2"/>
  <cols>
    <col min="1" max="1" width="30.7109375" style="14" customWidth="1" outlineLevel="1"/>
    <col min="2" max="2" width="31.42578125" style="14" customWidth="1" outlineLevel="1"/>
    <col min="3" max="3" width="3.140625" style="14" bestFit="1" customWidth="1" outlineLevel="1"/>
    <col min="4" max="4" width="3.5703125" style="14" customWidth="1" outlineLevel="1"/>
    <col min="5" max="5" width="3.140625" style="14" customWidth="1" outlineLevel="1"/>
    <col min="6" max="6" width="33.5703125" style="14" customWidth="1" outlineLevel="1"/>
    <col min="7" max="7" width="32.28515625" style="14" customWidth="1"/>
    <col min="8" max="8" width="3.140625" style="14" bestFit="1" customWidth="1"/>
    <col min="9" max="9" width="8.7109375" style="14" bestFit="1" customWidth="1"/>
    <col min="10" max="10" width="8.5703125" style="14" bestFit="1" customWidth="1"/>
    <col min="11" max="11" width="26.5703125" style="15" customWidth="1"/>
    <col min="12" max="12" width="31" style="15" customWidth="1"/>
    <col min="13" max="13" width="3.140625" style="64" bestFit="1" customWidth="1"/>
    <col min="14" max="14" width="3.140625" style="25" bestFit="1" customWidth="1"/>
    <col min="15" max="15" width="3.140625" style="26" bestFit="1" customWidth="1"/>
    <col min="16" max="16" width="3.140625" style="27" bestFit="1" customWidth="1"/>
    <col min="17" max="17" width="3.140625" style="28" bestFit="1" customWidth="1"/>
    <col min="18" max="18" width="3.140625" style="29" bestFit="1" customWidth="1"/>
    <col min="19" max="19" width="3.140625" style="30" bestFit="1" customWidth="1"/>
    <col min="20" max="20" width="3.140625" style="31" bestFit="1" customWidth="1"/>
    <col min="21" max="21" width="3.140625" style="14" bestFit="1" customWidth="1"/>
    <col min="22" max="22" width="46" style="15" customWidth="1"/>
    <col min="23" max="23" width="45.28515625" style="15" customWidth="1"/>
    <col min="24" max="24" width="7" style="14" bestFit="1" customWidth="1"/>
    <col min="25" max="25" width="32" style="14" customWidth="1"/>
    <col min="26" max="26" width="3.140625" style="14" customWidth="1"/>
    <col min="27" max="27" width="8.7109375" style="14" bestFit="1" customWidth="1"/>
    <col min="28" max="28" width="8.5703125" style="14" hidden="1" customWidth="1" outlineLevel="1"/>
    <col min="29" max="29" width="24.42578125" style="14" hidden="1" customWidth="1" outlineLevel="1"/>
    <col min="30" max="30" width="28.85546875" style="14" hidden="1" customWidth="1" outlineLevel="1"/>
    <col min="31" max="31" width="3.140625" style="14" customWidth="1" collapsed="1"/>
    <col min="32" max="32" width="3.140625" style="25" customWidth="1"/>
    <col min="33" max="33" width="3.140625" style="26" hidden="1" customWidth="1" outlineLevel="1"/>
    <col min="34" max="34" width="3.140625" style="27" hidden="1" customWidth="1" outlineLevel="1"/>
    <col min="35" max="35" width="3.140625" style="28" hidden="1" customWidth="1" outlineLevel="1"/>
    <col min="36" max="36" width="3.140625" style="29" hidden="1" customWidth="1" outlineLevel="1"/>
    <col min="37" max="37" width="3.140625" style="30" hidden="1" customWidth="1" outlineLevel="1"/>
    <col min="38" max="38" width="3.140625" style="31" bestFit="1" customWidth="1" collapsed="1"/>
    <col min="39" max="39" width="3.140625" style="14" bestFit="1" customWidth="1"/>
    <col min="40" max="40" width="62" style="15" customWidth="1"/>
    <col min="41" max="41" width="45.28515625" style="15" hidden="1" customWidth="1" outlineLevel="1"/>
    <col min="42" max="42" width="7" style="14" hidden="1" customWidth="1" outlineLevel="1"/>
    <col min="43" max="43" width="9.140625" style="14" collapsed="1"/>
    <col min="44" max="16384" width="9.140625" style="14"/>
  </cols>
  <sheetData>
    <row r="1" spans="1:42" s="13" customFormat="1" ht="79.5" x14ac:dyDescent="0.2">
      <c r="A1" s="11" t="s">
        <v>46</v>
      </c>
      <c r="B1" s="11" t="s">
        <v>116</v>
      </c>
      <c r="C1" s="17" t="s">
        <v>111</v>
      </c>
      <c r="D1" s="17" t="s">
        <v>55</v>
      </c>
      <c r="E1" s="17" t="s">
        <v>31</v>
      </c>
      <c r="F1" s="11" t="s">
        <v>30</v>
      </c>
      <c r="G1" s="11" t="s">
        <v>48</v>
      </c>
      <c r="H1" s="17" t="s">
        <v>18</v>
      </c>
      <c r="I1" s="11" t="s">
        <v>14</v>
      </c>
      <c r="J1" s="24" t="s">
        <v>15</v>
      </c>
      <c r="K1" s="12" t="s">
        <v>24</v>
      </c>
      <c r="L1" s="12" t="s">
        <v>27</v>
      </c>
      <c r="M1" s="63" t="s">
        <v>16</v>
      </c>
      <c r="N1" s="44" t="s">
        <v>17</v>
      </c>
      <c r="O1" s="44" t="s">
        <v>28</v>
      </c>
      <c r="P1" s="44" t="s">
        <v>22</v>
      </c>
      <c r="Q1" s="44" t="s">
        <v>20</v>
      </c>
      <c r="R1" s="44" t="s">
        <v>21</v>
      </c>
      <c r="S1" s="45" t="s">
        <v>23</v>
      </c>
      <c r="T1" s="46" t="s">
        <v>29</v>
      </c>
      <c r="U1" s="17" t="s">
        <v>32</v>
      </c>
      <c r="V1" s="12" t="s">
        <v>25</v>
      </c>
      <c r="W1" s="12" t="s">
        <v>26</v>
      </c>
      <c r="X1" s="11" t="s">
        <v>19</v>
      </c>
      <c r="Y1" s="36" t="s">
        <v>49</v>
      </c>
      <c r="Z1" s="37" t="s">
        <v>18</v>
      </c>
      <c r="AA1" s="36" t="s">
        <v>14</v>
      </c>
      <c r="AB1" s="38" t="s">
        <v>15</v>
      </c>
      <c r="AC1" s="39" t="s">
        <v>24</v>
      </c>
      <c r="AD1" s="39" t="s">
        <v>27</v>
      </c>
      <c r="AE1" s="37" t="s">
        <v>16</v>
      </c>
      <c r="AF1" s="40" t="s">
        <v>17</v>
      </c>
      <c r="AG1" s="40" t="s">
        <v>28</v>
      </c>
      <c r="AH1" s="40" t="s">
        <v>22</v>
      </c>
      <c r="AI1" s="40" t="s">
        <v>20</v>
      </c>
      <c r="AJ1" s="40" t="s">
        <v>21</v>
      </c>
      <c r="AK1" s="41" t="s">
        <v>23</v>
      </c>
      <c r="AL1" s="42" t="s">
        <v>29</v>
      </c>
      <c r="AM1" s="37" t="s">
        <v>32</v>
      </c>
      <c r="AN1" s="39" t="s">
        <v>25</v>
      </c>
      <c r="AO1" s="12" t="s">
        <v>26</v>
      </c>
      <c r="AP1" s="11" t="s">
        <v>19</v>
      </c>
    </row>
    <row r="2" spans="1:42" ht="72" x14ac:dyDescent="0.2">
      <c r="A2" s="60" t="s">
        <v>179</v>
      </c>
      <c r="B2" s="60" t="s">
        <v>168</v>
      </c>
      <c r="C2" s="60"/>
      <c r="D2" s="60">
        <v>1</v>
      </c>
      <c r="E2" s="60">
        <v>1</v>
      </c>
      <c r="F2" s="60"/>
      <c r="G2" s="60" t="s">
        <v>86</v>
      </c>
      <c r="H2" s="14" t="s">
        <v>35</v>
      </c>
      <c r="I2" s="14" t="s">
        <v>33</v>
      </c>
      <c r="J2" s="14" t="s">
        <v>34</v>
      </c>
      <c r="K2" s="15" t="s">
        <v>91</v>
      </c>
      <c r="L2" s="15" t="s">
        <v>92</v>
      </c>
      <c r="M2" s="64">
        <v>12</v>
      </c>
      <c r="P2" s="27">
        <v>2</v>
      </c>
      <c r="Q2" s="28">
        <v>3</v>
      </c>
      <c r="R2" s="29">
        <v>2</v>
      </c>
      <c r="S2" s="30">
        <v>5</v>
      </c>
      <c r="V2" s="15" t="s">
        <v>94</v>
      </c>
    </row>
    <row r="3" spans="1:42" ht="24" x14ac:dyDescent="0.2">
      <c r="A3" s="60" t="s">
        <v>179</v>
      </c>
      <c r="B3" s="14" t="s">
        <v>169</v>
      </c>
      <c r="D3" s="14">
        <v>2</v>
      </c>
      <c r="E3" s="14">
        <v>3</v>
      </c>
      <c r="G3" s="14" t="s">
        <v>144</v>
      </c>
      <c r="I3" s="14" t="s">
        <v>130</v>
      </c>
      <c r="J3" s="14" t="s">
        <v>133</v>
      </c>
      <c r="K3" s="15" t="s">
        <v>136</v>
      </c>
      <c r="L3" s="15" t="s">
        <v>92</v>
      </c>
      <c r="M3" s="64">
        <v>2</v>
      </c>
      <c r="P3" s="27">
        <v>0</v>
      </c>
      <c r="Q3" s="28">
        <v>1</v>
      </c>
      <c r="R3" s="29">
        <v>1</v>
      </c>
      <c r="S3" s="30">
        <v>1</v>
      </c>
      <c r="V3" s="15" t="s">
        <v>145</v>
      </c>
    </row>
    <row r="4" spans="1:42" x14ac:dyDescent="0.2">
      <c r="A4" s="60" t="s">
        <v>179</v>
      </c>
      <c r="B4" s="14" t="s">
        <v>170</v>
      </c>
      <c r="D4" s="14">
        <v>3</v>
      </c>
      <c r="E4" s="14">
        <v>3</v>
      </c>
      <c r="G4" s="14" t="s">
        <v>146</v>
      </c>
      <c r="I4" s="14" t="s">
        <v>41</v>
      </c>
      <c r="J4" s="14" t="s">
        <v>132</v>
      </c>
      <c r="K4" s="15" t="s">
        <v>135</v>
      </c>
      <c r="L4" s="15" t="s">
        <v>96</v>
      </c>
      <c r="M4" s="64">
        <v>2</v>
      </c>
      <c r="V4" s="15" t="s">
        <v>147</v>
      </c>
    </row>
    <row r="5" spans="1:42" x14ac:dyDescent="0.2">
      <c r="A5" s="60" t="s">
        <v>179</v>
      </c>
      <c r="B5" s="14" t="s">
        <v>171</v>
      </c>
      <c r="D5" s="14">
        <v>4</v>
      </c>
      <c r="E5" s="14">
        <v>3</v>
      </c>
      <c r="G5" s="14" t="s">
        <v>148</v>
      </c>
      <c r="I5" s="14" t="s">
        <v>131</v>
      </c>
      <c r="J5" s="14" t="s">
        <v>39</v>
      </c>
      <c r="M5" s="64">
        <v>2</v>
      </c>
      <c r="V5" s="15" t="s">
        <v>149</v>
      </c>
    </row>
    <row r="6" spans="1:42" ht="24" x14ac:dyDescent="0.2">
      <c r="A6" s="60" t="s">
        <v>179</v>
      </c>
      <c r="B6" s="14" t="s">
        <v>172</v>
      </c>
      <c r="D6" s="14">
        <v>5</v>
      </c>
      <c r="E6" s="14">
        <v>3</v>
      </c>
      <c r="G6" s="14" t="s">
        <v>150</v>
      </c>
      <c r="H6" s="14" t="s">
        <v>35</v>
      </c>
      <c r="I6" s="14" t="s">
        <v>130</v>
      </c>
      <c r="J6" s="14" t="s">
        <v>134</v>
      </c>
      <c r="K6" s="14" t="s">
        <v>151</v>
      </c>
      <c r="L6" s="61" t="s">
        <v>152</v>
      </c>
      <c r="M6" s="62">
        <v>5</v>
      </c>
      <c r="P6" s="27">
        <v>4</v>
      </c>
      <c r="Q6" s="28">
        <v>4</v>
      </c>
      <c r="R6" s="29">
        <v>4</v>
      </c>
      <c r="S6" s="30">
        <v>4</v>
      </c>
      <c r="V6" s="15" t="s">
        <v>153</v>
      </c>
    </row>
    <row r="7" spans="1:42" ht="24" x14ac:dyDescent="0.2">
      <c r="A7" s="60" t="s">
        <v>179</v>
      </c>
      <c r="B7" s="43" t="s">
        <v>173</v>
      </c>
      <c r="D7" s="14">
        <v>6</v>
      </c>
      <c r="E7" s="14">
        <v>1</v>
      </c>
      <c r="F7" s="14" t="s">
        <v>103</v>
      </c>
      <c r="G7" s="14" t="s">
        <v>88</v>
      </c>
      <c r="I7" s="14" t="s">
        <v>42</v>
      </c>
      <c r="K7" s="14" t="s">
        <v>98</v>
      </c>
      <c r="L7" s="61"/>
      <c r="M7" s="62"/>
      <c r="N7" s="25">
        <v>32</v>
      </c>
      <c r="O7" s="26">
        <v>3</v>
      </c>
      <c r="Q7" s="28">
        <v>5</v>
      </c>
      <c r="R7" s="29">
        <v>2</v>
      </c>
      <c r="S7" s="30">
        <v>9</v>
      </c>
      <c r="V7" s="15" t="s">
        <v>101</v>
      </c>
      <c r="W7" s="15" t="s">
        <v>102</v>
      </c>
    </row>
    <row r="8" spans="1:42" ht="36" x14ac:dyDescent="0.2">
      <c r="A8" s="60" t="s">
        <v>179</v>
      </c>
      <c r="B8" s="14" t="s">
        <v>174</v>
      </c>
      <c r="D8" s="14">
        <v>7</v>
      </c>
      <c r="E8" s="14">
        <v>3</v>
      </c>
      <c r="F8" s="14" t="s">
        <v>160</v>
      </c>
      <c r="G8" s="14" t="s">
        <v>156</v>
      </c>
      <c r="I8" s="14" t="s">
        <v>43</v>
      </c>
      <c r="K8" s="14" t="s">
        <v>157</v>
      </c>
      <c r="L8" s="61"/>
      <c r="M8" s="62"/>
      <c r="O8" s="26">
        <v>3</v>
      </c>
      <c r="T8" s="31">
        <v>3</v>
      </c>
      <c r="U8" s="14">
        <v>3</v>
      </c>
      <c r="V8" s="15" t="s">
        <v>158</v>
      </c>
    </row>
    <row r="9" spans="1:42" x14ac:dyDescent="0.2">
      <c r="A9" s="60" t="s">
        <v>179</v>
      </c>
      <c r="B9" s="14" t="s">
        <v>175</v>
      </c>
      <c r="D9" s="14">
        <v>8</v>
      </c>
      <c r="E9" s="14">
        <v>3</v>
      </c>
      <c r="F9" s="14" t="s">
        <v>161</v>
      </c>
      <c r="G9" s="14" t="s">
        <v>154</v>
      </c>
      <c r="I9" s="14" t="s">
        <v>129</v>
      </c>
      <c r="K9" s="14"/>
      <c r="L9" s="61"/>
      <c r="M9" s="62"/>
      <c r="V9" s="15" t="s">
        <v>155</v>
      </c>
    </row>
    <row r="10" spans="1:42" ht="108" x14ac:dyDescent="0.2">
      <c r="A10" s="60" t="s">
        <v>179</v>
      </c>
      <c r="B10" s="14" t="s">
        <v>176</v>
      </c>
      <c r="D10" s="14">
        <v>9</v>
      </c>
      <c r="E10" s="14">
        <v>1</v>
      </c>
      <c r="F10" s="14" t="s">
        <v>107</v>
      </c>
      <c r="G10" s="14" t="s">
        <v>159</v>
      </c>
      <c r="I10" s="14" t="s">
        <v>44</v>
      </c>
      <c r="K10" s="14"/>
      <c r="L10" s="61"/>
      <c r="M10" s="62">
        <v>1</v>
      </c>
      <c r="N10" s="25" t="s">
        <v>142</v>
      </c>
      <c r="V10" s="15" t="s">
        <v>106</v>
      </c>
      <c r="X10" s="14" t="s">
        <v>108</v>
      </c>
      <c r="Y10" s="14" t="s">
        <v>159</v>
      </c>
      <c r="AA10" s="14" t="s">
        <v>44</v>
      </c>
      <c r="AE10" s="14">
        <v>1</v>
      </c>
      <c r="AF10" s="25" t="s">
        <v>45</v>
      </c>
      <c r="AL10" s="31" t="s">
        <v>100</v>
      </c>
      <c r="AN10" s="15" t="s">
        <v>110</v>
      </c>
    </row>
    <row r="11" spans="1:42" ht="96" x14ac:dyDescent="0.2">
      <c r="A11" s="60" t="s">
        <v>179</v>
      </c>
      <c r="B11" s="14" t="s">
        <v>177</v>
      </c>
      <c r="D11" s="14">
        <v>10</v>
      </c>
      <c r="E11" s="14">
        <v>1</v>
      </c>
      <c r="F11" s="14" t="s">
        <v>107</v>
      </c>
      <c r="G11" s="14" t="s">
        <v>162</v>
      </c>
      <c r="I11" s="14" t="s">
        <v>44</v>
      </c>
      <c r="K11" s="14"/>
      <c r="L11" s="61"/>
      <c r="M11" s="62">
        <v>2</v>
      </c>
      <c r="N11" s="25" t="s">
        <v>142</v>
      </c>
      <c r="Y11" s="14" t="s">
        <v>162</v>
      </c>
      <c r="AA11" s="14" t="s">
        <v>44</v>
      </c>
      <c r="AE11" s="14">
        <v>2</v>
      </c>
      <c r="AF11" s="25" t="s">
        <v>45</v>
      </c>
      <c r="AL11" s="31" t="s">
        <v>163</v>
      </c>
      <c r="AN11" s="15" t="s">
        <v>164</v>
      </c>
    </row>
    <row r="12" spans="1:42" ht="72" x14ac:dyDescent="0.2">
      <c r="A12" s="60" t="s">
        <v>179</v>
      </c>
      <c r="B12" s="14" t="s">
        <v>178</v>
      </c>
      <c r="D12" s="14">
        <v>11</v>
      </c>
      <c r="E12" s="14">
        <v>1</v>
      </c>
      <c r="F12" s="14" t="s">
        <v>107</v>
      </c>
      <c r="G12" s="14" t="s">
        <v>165</v>
      </c>
      <c r="I12" s="14" t="s">
        <v>44</v>
      </c>
      <c r="K12" s="14"/>
      <c r="L12" s="61"/>
      <c r="M12" s="62">
        <v>3</v>
      </c>
      <c r="N12" s="25" t="s">
        <v>142</v>
      </c>
      <c r="Y12" s="14" t="s">
        <v>165</v>
      </c>
      <c r="AA12" s="14" t="s">
        <v>44</v>
      </c>
      <c r="AE12" s="14">
        <v>3</v>
      </c>
      <c r="AF12" s="25" t="s">
        <v>45</v>
      </c>
      <c r="AL12" s="31" t="s">
        <v>166</v>
      </c>
      <c r="AN12" s="15" t="s">
        <v>167</v>
      </c>
    </row>
    <row r="734" spans="14:19" x14ac:dyDescent="0.2">
      <c r="N734" s="47"/>
      <c r="O734" s="48"/>
      <c r="P734" s="49"/>
      <c r="Q734" s="50"/>
      <c r="R734" s="51"/>
      <c r="S734" s="52"/>
    </row>
    <row r="735" spans="14:19" x14ac:dyDescent="0.2">
      <c r="N735" s="47"/>
      <c r="O735" s="48"/>
      <c r="P735" s="49"/>
      <c r="Q735" s="50"/>
      <c r="R735" s="51"/>
      <c r="S735" s="52"/>
    </row>
    <row r="736" spans="14:19" x14ac:dyDescent="0.2">
      <c r="N736" s="47"/>
      <c r="O736" s="48"/>
      <c r="P736" s="49"/>
      <c r="Q736" s="50"/>
      <c r="R736" s="51"/>
      <c r="S736" s="52"/>
    </row>
    <row r="737" spans="14:19" x14ac:dyDescent="0.2">
      <c r="N737" s="47"/>
      <c r="O737" s="48"/>
      <c r="P737" s="49"/>
      <c r="Q737" s="50"/>
      <c r="R737" s="51"/>
      <c r="S737" s="52"/>
    </row>
    <row r="738" spans="14:19" x14ac:dyDescent="0.2">
      <c r="N738" s="47"/>
      <c r="O738" s="48"/>
      <c r="P738" s="49"/>
      <c r="Q738" s="50"/>
      <c r="R738" s="51"/>
      <c r="S738" s="52"/>
    </row>
    <row r="739" spans="14:19" x14ac:dyDescent="0.2">
      <c r="N739" s="47"/>
      <c r="O739" s="48"/>
      <c r="P739" s="49"/>
      <c r="Q739" s="50"/>
      <c r="R739" s="51"/>
      <c r="S739" s="52"/>
    </row>
    <row r="740" spans="14:19" x14ac:dyDescent="0.2">
      <c r="N740" s="47"/>
      <c r="O740" s="48"/>
      <c r="P740" s="49"/>
      <c r="Q740" s="50"/>
      <c r="R740" s="51"/>
      <c r="S740" s="52"/>
    </row>
    <row r="741" spans="14:19" x14ac:dyDescent="0.2">
      <c r="N741" s="47"/>
      <c r="O741" s="48"/>
      <c r="P741" s="49"/>
      <c r="Q741" s="50"/>
      <c r="R741" s="51"/>
      <c r="S741" s="52"/>
    </row>
    <row r="742" spans="14:19" x14ac:dyDescent="0.2">
      <c r="N742" s="47"/>
      <c r="O742" s="48"/>
      <c r="P742" s="49"/>
      <c r="Q742" s="50"/>
      <c r="R742" s="51"/>
      <c r="S742" s="52"/>
    </row>
    <row r="743" spans="14:19" x14ac:dyDescent="0.2">
      <c r="N743" s="47"/>
      <c r="O743" s="48"/>
      <c r="P743" s="49"/>
      <c r="Q743" s="50"/>
      <c r="R743" s="51"/>
      <c r="S743" s="52"/>
    </row>
    <row r="744" spans="14:19" x14ac:dyDescent="0.2">
      <c r="N744" s="47"/>
      <c r="O744" s="48"/>
      <c r="P744" s="49"/>
      <c r="Q744" s="50"/>
      <c r="R744" s="51"/>
      <c r="S744" s="52"/>
    </row>
    <row r="745" spans="14:19" x14ac:dyDescent="0.2">
      <c r="N745" s="47"/>
      <c r="O745" s="48"/>
      <c r="P745" s="49"/>
      <c r="Q745" s="50"/>
      <c r="R745" s="51"/>
      <c r="S745" s="52"/>
    </row>
    <row r="746" spans="14:19" x14ac:dyDescent="0.2">
      <c r="N746" s="47"/>
      <c r="O746" s="48"/>
      <c r="P746" s="49"/>
      <c r="Q746" s="50"/>
      <c r="R746" s="51"/>
      <c r="S746" s="52"/>
    </row>
    <row r="747" spans="14:19" x14ac:dyDescent="0.2">
      <c r="N747" s="47"/>
      <c r="O747" s="48"/>
      <c r="P747" s="49"/>
      <c r="Q747" s="50"/>
      <c r="R747" s="51"/>
      <c r="S747" s="52"/>
    </row>
    <row r="748" spans="14:19" x14ac:dyDescent="0.2">
      <c r="N748" s="47"/>
      <c r="O748" s="48"/>
      <c r="P748" s="49"/>
      <c r="Q748" s="50"/>
      <c r="R748" s="51"/>
      <c r="S748" s="52"/>
    </row>
    <row r="749" spans="14:19" x14ac:dyDescent="0.2">
      <c r="N749" s="47"/>
      <c r="O749" s="48"/>
      <c r="P749" s="49"/>
      <c r="Q749" s="50"/>
      <c r="R749" s="51"/>
      <c r="S749" s="52"/>
    </row>
    <row r="750" spans="14:19" x14ac:dyDescent="0.2">
      <c r="N750" s="47"/>
      <c r="O750" s="48"/>
      <c r="P750" s="49"/>
      <c r="Q750" s="50"/>
      <c r="R750" s="51"/>
      <c r="S750" s="52"/>
    </row>
    <row r="751" spans="14:19" x14ac:dyDescent="0.2">
      <c r="N751" s="47"/>
      <c r="O751" s="48"/>
      <c r="P751" s="49"/>
      <c r="Q751" s="50"/>
      <c r="R751" s="51"/>
      <c r="S751" s="52"/>
    </row>
    <row r="752" spans="14:19" x14ac:dyDescent="0.2">
      <c r="N752" s="47"/>
      <c r="O752" s="48"/>
      <c r="P752" s="49"/>
      <c r="Q752" s="50"/>
      <c r="R752" s="51"/>
      <c r="S752" s="52"/>
    </row>
    <row r="753" spans="14:19" x14ac:dyDescent="0.2">
      <c r="N753" s="47"/>
      <c r="O753" s="48"/>
      <c r="P753" s="49"/>
      <c r="Q753" s="50"/>
      <c r="R753" s="51"/>
      <c r="S753" s="52"/>
    </row>
    <row r="754" spans="14:19" x14ac:dyDescent="0.2">
      <c r="N754" s="47"/>
      <c r="O754" s="48"/>
      <c r="P754" s="49"/>
      <c r="Q754" s="50"/>
      <c r="R754" s="51"/>
      <c r="S754" s="52"/>
    </row>
    <row r="755" spans="14:19" x14ac:dyDescent="0.2">
      <c r="N755" s="47"/>
      <c r="O755" s="48"/>
      <c r="P755" s="49"/>
      <c r="Q755" s="50"/>
      <c r="R755" s="51"/>
      <c r="S755" s="52"/>
    </row>
    <row r="756" spans="14:19" x14ac:dyDescent="0.2">
      <c r="N756" s="47"/>
      <c r="O756" s="48"/>
      <c r="P756" s="49"/>
      <c r="Q756" s="50"/>
      <c r="R756" s="51"/>
      <c r="S756" s="52"/>
    </row>
    <row r="757" spans="14:19" x14ac:dyDescent="0.2">
      <c r="N757" s="47"/>
      <c r="O757" s="48"/>
      <c r="P757" s="49"/>
      <c r="Q757" s="50"/>
      <c r="R757" s="51"/>
      <c r="S757" s="52"/>
    </row>
    <row r="758" spans="14:19" x14ac:dyDescent="0.2">
      <c r="N758" s="47"/>
      <c r="O758" s="48"/>
      <c r="P758" s="49"/>
      <c r="Q758" s="50"/>
      <c r="R758" s="51"/>
      <c r="S758" s="52"/>
    </row>
    <row r="759" spans="14:19" x14ac:dyDescent="0.2">
      <c r="N759" s="47"/>
      <c r="O759" s="48"/>
      <c r="P759" s="49"/>
      <c r="Q759" s="50"/>
      <c r="R759" s="51"/>
      <c r="S759" s="52"/>
    </row>
    <row r="760" spans="14:19" x14ac:dyDescent="0.2">
      <c r="N760" s="47"/>
      <c r="O760" s="48"/>
      <c r="P760" s="49"/>
      <c r="Q760" s="50"/>
      <c r="R760" s="51"/>
      <c r="S760" s="52"/>
    </row>
    <row r="761" spans="14:19" x14ac:dyDescent="0.2">
      <c r="N761" s="47"/>
      <c r="O761" s="48"/>
      <c r="P761" s="49"/>
      <c r="Q761" s="50"/>
      <c r="R761" s="51"/>
      <c r="S761" s="52"/>
    </row>
    <row r="762" spans="14:19" x14ac:dyDescent="0.2">
      <c r="N762" s="47"/>
      <c r="O762" s="48"/>
      <c r="P762" s="49"/>
      <c r="Q762" s="50"/>
      <c r="R762" s="51"/>
      <c r="S762" s="52"/>
    </row>
    <row r="763" spans="14:19" x14ac:dyDescent="0.2">
      <c r="N763" s="47"/>
      <c r="O763" s="48"/>
      <c r="P763" s="49"/>
      <c r="Q763" s="50"/>
      <c r="R763" s="51"/>
      <c r="S763" s="52"/>
    </row>
    <row r="764" spans="14:19" x14ac:dyDescent="0.2">
      <c r="N764" s="47"/>
      <c r="O764" s="48"/>
      <c r="P764" s="49"/>
      <c r="Q764" s="50"/>
      <c r="R764" s="51"/>
      <c r="S764" s="52"/>
    </row>
    <row r="765" spans="14:19" x14ac:dyDescent="0.2">
      <c r="N765" s="47"/>
      <c r="O765" s="48"/>
      <c r="P765" s="49"/>
      <c r="Q765" s="50"/>
      <c r="R765" s="51"/>
      <c r="S765" s="52"/>
    </row>
    <row r="771" spans="14:19" x14ac:dyDescent="0.2">
      <c r="N771" s="47"/>
      <c r="O771" s="48"/>
      <c r="P771" s="49"/>
      <c r="Q771" s="50"/>
      <c r="R771" s="51"/>
      <c r="S771" s="52"/>
    </row>
    <row r="772" spans="14:19" x14ac:dyDescent="0.2">
      <c r="N772" s="47"/>
      <c r="O772" s="48"/>
      <c r="P772" s="49"/>
      <c r="Q772" s="50"/>
      <c r="R772" s="51"/>
      <c r="S772" s="52"/>
    </row>
    <row r="773" spans="14:19" x14ac:dyDescent="0.2">
      <c r="N773" s="47"/>
      <c r="O773" s="48"/>
      <c r="P773" s="49"/>
      <c r="Q773" s="50"/>
      <c r="R773" s="51"/>
      <c r="S773" s="52"/>
    </row>
    <row r="774" spans="14:19" x14ac:dyDescent="0.2">
      <c r="N774" s="47"/>
      <c r="O774" s="48"/>
      <c r="P774" s="49"/>
      <c r="Q774" s="50"/>
      <c r="R774" s="51"/>
      <c r="S774" s="52"/>
    </row>
    <row r="775" spans="14:19" x14ac:dyDescent="0.2">
      <c r="N775" s="47"/>
      <c r="O775" s="48"/>
      <c r="P775" s="49"/>
      <c r="Q775" s="50"/>
      <c r="R775" s="51"/>
      <c r="S775" s="52"/>
    </row>
    <row r="776" spans="14:19" x14ac:dyDescent="0.2">
      <c r="N776" s="47"/>
      <c r="O776" s="48"/>
      <c r="P776" s="49"/>
      <c r="Q776" s="50"/>
      <c r="R776" s="51"/>
      <c r="S776" s="52"/>
    </row>
    <row r="777" spans="14:19" x14ac:dyDescent="0.2">
      <c r="N777" s="47"/>
      <c r="O777" s="48"/>
      <c r="P777" s="49"/>
      <c r="Q777" s="50"/>
      <c r="R777" s="51"/>
      <c r="S777" s="52"/>
    </row>
    <row r="778" spans="14:19" x14ac:dyDescent="0.2">
      <c r="N778" s="47"/>
      <c r="O778" s="48"/>
      <c r="P778" s="49"/>
      <c r="Q778" s="50"/>
      <c r="R778" s="51"/>
      <c r="S778" s="52"/>
    </row>
    <row r="779" spans="14:19" x14ac:dyDescent="0.2">
      <c r="N779" s="47"/>
      <c r="O779" s="48"/>
      <c r="P779" s="49"/>
      <c r="Q779" s="50"/>
      <c r="R779" s="51"/>
      <c r="S779" s="52"/>
    </row>
    <row r="780" spans="14:19" x14ac:dyDescent="0.2">
      <c r="N780" s="47"/>
      <c r="O780" s="48"/>
      <c r="P780" s="49"/>
      <c r="Q780" s="50"/>
      <c r="R780" s="51"/>
      <c r="S780" s="52"/>
    </row>
    <row r="781" spans="14:19" x14ac:dyDescent="0.2">
      <c r="N781" s="47"/>
      <c r="O781" s="48"/>
      <c r="P781" s="49"/>
      <c r="Q781" s="50"/>
      <c r="R781" s="51"/>
      <c r="S781" s="52"/>
    </row>
    <row r="782" spans="14:19" x14ac:dyDescent="0.2">
      <c r="N782" s="47"/>
      <c r="O782" s="48"/>
      <c r="P782" s="49"/>
      <c r="Q782" s="50"/>
      <c r="R782" s="51"/>
      <c r="S782" s="52"/>
    </row>
    <row r="783" spans="14:19" x14ac:dyDescent="0.2">
      <c r="N783" s="47"/>
      <c r="O783" s="48"/>
      <c r="P783" s="49"/>
      <c r="Q783" s="50"/>
      <c r="R783" s="51"/>
      <c r="S783" s="52"/>
    </row>
    <row r="786" spans="14:19" x14ac:dyDescent="0.2">
      <c r="N786" s="47"/>
      <c r="O786" s="48"/>
      <c r="P786" s="49"/>
      <c r="Q786" s="50"/>
      <c r="R786" s="51"/>
      <c r="S786" s="52"/>
    </row>
    <row r="787" spans="14:19" x14ac:dyDescent="0.2">
      <c r="N787" s="47"/>
      <c r="O787" s="48"/>
      <c r="P787" s="49"/>
      <c r="Q787" s="50"/>
      <c r="R787" s="51"/>
      <c r="S787" s="52"/>
    </row>
    <row r="788" spans="14:19" x14ac:dyDescent="0.2">
      <c r="N788" s="47"/>
      <c r="O788" s="48"/>
      <c r="P788" s="49"/>
      <c r="Q788" s="50"/>
      <c r="R788" s="51"/>
      <c r="S788" s="52"/>
    </row>
    <row r="792" spans="14:19" x14ac:dyDescent="0.2">
      <c r="N792" s="47"/>
      <c r="O792" s="48"/>
      <c r="P792" s="49"/>
      <c r="Q792" s="50"/>
      <c r="R792" s="51"/>
      <c r="S792" s="52"/>
    </row>
    <row r="793" spans="14:19" x14ac:dyDescent="0.2">
      <c r="N793" s="47"/>
      <c r="O793" s="48"/>
      <c r="P793" s="49"/>
      <c r="Q793" s="50"/>
      <c r="R793" s="51"/>
      <c r="S793" s="52"/>
    </row>
    <row r="794" spans="14:19" x14ac:dyDescent="0.2">
      <c r="N794" s="47"/>
      <c r="O794" s="48"/>
      <c r="P794" s="49"/>
      <c r="Q794" s="50"/>
      <c r="R794" s="51"/>
      <c r="S794" s="52"/>
    </row>
    <row r="795" spans="14:19" x14ac:dyDescent="0.2">
      <c r="N795" s="47"/>
      <c r="O795" s="48"/>
      <c r="P795" s="49"/>
      <c r="Q795" s="50"/>
      <c r="R795" s="51"/>
      <c r="S795" s="52"/>
    </row>
    <row r="796" spans="14:19" x14ac:dyDescent="0.2">
      <c r="N796" s="47"/>
      <c r="O796" s="48"/>
      <c r="P796" s="49"/>
      <c r="Q796" s="50"/>
      <c r="R796" s="51"/>
      <c r="S796" s="52"/>
    </row>
    <row r="797" spans="14:19" x14ac:dyDescent="0.2">
      <c r="N797" s="47"/>
      <c r="O797" s="48"/>
      <c r="P797" s="49"/>
      <c r="Q797" s="50"/>
      <c r="R797" s="51"/>
      <c r="S797" s="52"/>
    </row>
    <row r="798" spans="14:19" x14ac:dyDescent="0.2">
      <c r="N798" s="47"/>
      <c r="O798" s="48"/>
      <c r="P798" s="49"/>
      <c r="Q798" s="50"/>
      <c r="R798" s="51"/>
      <c r="S798" s="52"/>
    </row>
    <row r="799" spans="14:19" x14ac:dyDescent="0.2">
      <c r="N799" s="47"/>
      <c r="O799" s="48"/>
      <c r="P799" s="49"/>
      <c r="Q799" s="50"/>
      <c r="R799" s="51"/>
      <c r="S799" s="52"/>
    </row>
    <row r="800" spans="14:19" x14ac:dyDescent="0.2">
      <c r="N800" s="47"/>
      <c r="O800" s="48"/>
      <c r="P800" s="49"/>
      <c r="Q800" s="50"/>
      <c r="R800" s="51"/>
      <c r="S800" s="52"/>
    </row>
    <row r="802" spans="14:19" x14ac:dyDescent="0.2">
      <c r="N802" s="47"/>
      <c r="O802" s="48"/>
      <c r="P802" s="49"/>
      <c r="Q802" s="50"/>
      <c r="R802" s="51"/>
      <c r="S802" s="52"/>
    </row>
    <row r="803" spans="14:19" x14ac:dyDescent="0.2">
      <c r="N803" s="47"/>
      <c r="O803" s="48"/>
      <c r="P803" s="49"/>
      <c r="Q803" s="50"/>
      <c r="R803" s="51"/>
      <c r="S803" s="52"/>
    </row>
    <row r="807" spans="14:19" x14ac:dyDescent="0.2">
      <c r="N807" s="47"/>
      <c r="O807" s="48"/>
      <c r="P807" s="49"/>
      <c r="Q807" s="50"/>
      <c r="R807" s="51"/>
      <c r="S807" s="52"/>
    </row>
    <row r="809" spans="14:19" x14ac:dyDescent="0.2">
      <c r="N809" s="47"/>
      <c r="O809" s="48"/>
      <c r="P809" s="49"/>
      <c r="Q809" s="50"/>
      <c r="R809" s="51"/>
      <c r="S809" s="52"/>
    </row>
    <row r="810" spans="14:19" x14ac:dyDescent="0.2">
      <c r="N810" s="47"/>
      <c r="O810" s="48"/>
      <c r="P810" s="49"/>
      <c r="Q810" s="50"/>
      <c r="R810" s="51"/>
      <c r="S810" s="52"/>
    </row>
    <row r="811" spans="14:19" x14ac:dyDescent="0.2">
      <c r="N811" s="47"/>
      <c r="O811" s="48"/>
      <c r="P811" s="49"/>
      <c r="Q811" s="50"/>
      <c r="R811" s="51"/>
      <c r="S811" s="52"/>
    </row>
    <row r="813" spans="14:19" x14ac:dyDescent="0.2">
      <c r="N813" s="47"/>
      <c r="O813" s="48"/>
      <c r="P813" s="49"/>
      <c r="Q813" s="50"/>
      <c r="R813" s="51"/>
      <c r="S813" s="52"/>
    </row>
    <row r="815" spans="14:19" x14ac:dyDescent="0.2">
      <c r="N815" s="47"/>
      <c r="O815" s="48"/>
      <c r="P815" s="49"/>
      <c r="Q815" s="50"/>
      <c r="R815" s="51"/>
      <c r="S815" s="52"/>
    </row>
    <row r="816" spans="14:19" x14ac:dyDescent="0.2">
      <c r="N816" s="47"/>
      <c r="O816" s="48"/>
      <c r="P816" s="49"/>
      <c r="Q816" s="50"/>
      <c r="R816" s="51"/>
      <c r="S816" s="52"/>
    </row>
    <row r="821" spans="14:19" x14ac:dyDescent="0.2">
      <c r="N821" s="47"/>
      <c r="O821" s="48"/>
      <c r="P821" s="49"/>
      <c r="Q821" s="50"/>
      <c r="R821" s="51"/>
      <c r="S821" s="52"/>
    </row>
    <row r="1009" spans="20:20" x14ac:dyDescent="0.2">
      <c r="T1009" s="53"/>
    </row>
    <row r="1010" spans="20:20" x14ac:dyDescent="0.2">
      <c r="T1010" s="53"/>
    </row>
    <row r="1011" spans="20:20" x14ac:dyDescent="0.2">
      <c r="T1011" s="53"/>
    </row>
    <row r="1012" spans="20:20" x14ac:dyDescent="0.2">
      <c r="T1012" s="53"/>
    </row>
    <row r="1013" spans="20:20" x14ac:dyDescent="0.2">
      <c r="T1013" s="53"/>
    </row>
    <row r="1014" spans="20:20" x14ac:dyDescent="0.2">
      <c r="T1014" s="53"/>
    </row>
    <row r="1015" spans="20:20" x14ac:dyDescent="0.2">
      <c r="T1015" s="53"/>
    </row>
    <row r="1016" spans="20:20" x14ac:dyDescent="0.2">
      <c r="T1016" s="53"/>
    </row>
    <row r="1017" spans="20:20" x14ac:dyDescent="0.2">
      <c r="T1017" s="53"/>
    </row>
    <row r="1018" spans="20:20" x14ac:dyDescent="0.2">
      <c r="T1018" s="53"/>
    </row>
    <row r="1019" spans="20:20" x14ac:dyDescent="0.2">
      <c r="T1019" s="53"/>
    </row>
    <row r="1020" spans="20:20" x14ac:dyDescent="0.2">
      <c r="T1020" s="53"/>
    </row>
    <row r="1021" spans="20:20" x14ac:dyDescent="0.2">
      <c r="T1021" s="53"/>
    </row>
    <row r="1022" spans="20:20" x14ac:dyDescent="0.2">
      <c r="T1022" s="53"/>
    </row>
    <row r="1023" spans="20:20" x14ac:dyDescent="0.2">
      <c r="T1023" s="53"/>
    </row>
    <row r="1024" spans="20:20" x14ac:dyDescent="0.2">
      <c r="T1024" s="53"/>
    </row>
    <row r="1025" spans="20:20" x14ac:dyDescent="0.2">
      <c r="T1025" s="53"/>
    </row>
    <row r="1026" spans="20:20" x14ac:dyDescent="0.2">
      <c r="T1026" s="53"/>
    </row>
    <row r="1027" spans="20:20" x14ac:dyDescent="0.2">
      <c r="T1027" s="53"/>
    </row>
    <row r="1028" spans="20:20" x14ac:dyDescent="0.2">
      <c r="T1028" s="53"/>
    </row>
    <row r="1029" spans="20:20" x14ac:dyDescent="0.2">
      <c r="T1029" s="53"/>
    </row>
    <row r="1030" spans="20:20" x14ac:dyDescent="0.2">
      <c r="T1030" s="53"/>
    </row>
    <row r="1031" spans="20:20" x14ac:dyDescent="0.2">
      <c r="T1031" s="53"/>
    </row>
    <row r="1735" spans="14:19" x14ac:dyDescent="0.2">
      <c r="N1735" s="54"/>
      <c r="O1735" s="55"/>
      <c r="P1735" s="56"/>
      <c r="Q1735" s="57"/>
      <c r="R1735" s="58"/>
      <c r="S1735" s="59"/>
    </row>
    <row r="1736" spans="14:19" x14ac:dyDescent="0.2">
      <c r="N1736" s="54"/>
      <c r="O1736" s="55"/>
      <c r="P1736" s="56"/>
      <c r="Q1736" s="57"/>
      <c r="R1736" s="58"/>
      <c r="S1736" s="59"/>
    </row>
    <row r="1737" spans="14:19" x14ac:dyDescent="0.2">
      <c r="N1737" s="54"/>
      <c r="O1737" s="55"/>
      <c r="P1737" s="56"/>
      <c r="Q1737" s="57"/>
      <c r="R1737" s="58"/>
      <c r="S1737" s="59"/>
    </row>
    <row r="1738" spans="14:19" x14ac:dyDescent="0.2">
      <c r="N1738" s="54"/>
      <c r="O1738" s="55"/>
      <c r="P1738" s="56"/>
      <c r="Q1738" s="57"/>
      <c r="R1738" s="58"/>
      <c r="S1738" s="59"/>
    </row>
    <row r="1739" spans="14:19" x14ac:dyDescent="0.2">
      <c r="N1739" s="54"/>
      <c r="O1739" s="55"/>
      <c r="P1739" s="56"/>
      <c r="Q1739" s="57"/>
      <c r="R1739" s="58"/>
      <c r="S1739" s="59"/>
    </row>
    <row r="1740" spans="14:19" x14ac:dyDescent="0.2">
      <c r="N1740" s="54"/>
      <c r="O1740" s="55"/>
      <c r="P1740" s="56"/>
      <c r="Q1740" s="57"/>
      <c r="R1740" s="58"/>
      <c r="S1740" s="59"/>
    </row>
    <row r="1741" spans="14:19" x14ac:dyDescent="0.2">
      <c r="N1741" s="54"/>
      <c r="O1741" s="55"/>
      <c r="P1741" s="56"/>
      <c r="Q1741" s="57"/>
      <c r="R1741" s="58"/>
      <c r="S1741" s="59"/>
    </row>
    <row r="1742" spans="14:19" x14ac:dyDescent="0.2">
      <c r="N1742" s="54"/>
      <c r="O1742" s="55"/>
      <c r="P1742" s="56"/>
      <c r="Q1742" s="57"/>
      <c r="R1742" s="58"/>
      <c r="S1742" s="59"/>
    </row>
    <row r="1743" spans="14:19" x14ac:dyDescent="0.2">
      <c r="N1743" s="54"/>
      <c r="O1743" s="55"/>
      <c r="P1743" s="56"/>
      <c r="Q1743" s="57"/>
      <c r="R1743" s="58"/>
      <c r="S1743" s="59"/>
    </row>
    <row r="1744" spans="14:19" x14ac:dyDescent="0.2">
      <c r="N1744" s="54"/>
      <c r="O1744" s="55"/>
      <c r="P1744" s="56"/>
      <c r="Q1744" s="57"/>
      <c r="R1744" s="58"/>
      <c r="S1744" s="59"/>
    </row>
    <row r="1745" spans="14:19" x14ac:dyDescent="0.2">
      <c r="N1745" s="54"/>
      <c r="O1745" s="55"/>
      <c r="P1745" s="56"/>
      <c r="Q1745" s="57"/>
      <c r="R1745" s="58"/>
      <c r="S1745" s="59"/>
    </row>
    <row r="1746" spans="14:19" x14ac:dyDescent="0.2">
      <c r="N1746" s="54"/>
      <c r="O1746" s="55"/>
      <c r="P1746" s="56"/>
      <c r="Q1746" s="57"/>
      <c r="R1746" s="58"/>
      <c r="S1746" s="59"/>
    </row>
    <row r="1747" spans="14:19" x14ac:dyDescent="0.2">
      <c r="N1747" s="54"/>
      <c r="O1747" s="55"/>
      <c r="P1747" s="56"/>
      <c r="Q1747" s="57"/>
      <c r="R1747" s="58"/>
      <c r="S1747" s="59"/>
    </row>
    <row r="1748" spans="14:19" x14ac:dyDescent="0.2">
      <c r="N1748" s="54"/>
      <c r="O1748" s="55"/>
      <c r="P1748" s="56"/>
      <c r="Q1748" s="57"/>
      <c r="R1748" s="58"/>
      <c r="S1748" s="59"/>
    </row>
    <row r="1749" spans="14:19" x14ac:dyDescent="0.2">
      <c r="N1749" s="54"/>
      <c r="O1749" s="55"/>
      <c r="P1749" s="56"/>
      <c r="Q1749" s="57"/>
      <c r="R1749" s="58"/>
      <c r="S1749" s="59"/>
    </row>
    <row r="1750" spans="14:19" x14ac:dyDescent="0.2">
      <c r="N1750" s="54"/>
      <c r="O1750" s="55"/>
      <c r="P1750" s="56"/>
      <c r="Q1750" s="57"/>
      <c r="R1750" s="58"/>
      <c r="S1750" s="59"/>
    </row>
    <row r="1751" spans="14:19" x14ac:dyDescent="0.2">
      <c r="N1751" s="54"/>
      <c r="O1751" s="55"/>
      <c r="P1751" s="56"/>
      <c r="Q1751" s="57"/>
      <c r="R1751" s="58"/>
      <c r="S1751" s="59"/>
    </row>
    <row r="1752" spans="14:19" x14ac:dyDescent="0.2">
      <c r="N1752" s="54"/>
      <c r="O1752" s="55"/>
      <c r="P1752" s="56"/>
      <c r="Q1752" s="57"/>
      <c r="R1752" s="58"/>
      <c r="S1752" s="59"/>
    </row>
    <row r="1753" spans="14:19" x14ac:dyDescent="0.2">
      <c r="N1753" s="54"/>
      <c r="O1753" s="55"/>
      <c r="P1753" s="56"/>
      <c r="Q1753" s="57"/>
      <c r="R1753" s="58"/>
      <c r="S1753" s="59"/>
    </row>
    <row r="1754" spans="14:19" x14ac:dyDescent="0.2">
      <c r="N1754" s="54"/>
      <c r="O1754" s="55"/>
      <c r="P1754" s="56"/>
      <c r="Q1754" s="57"/>
      <c r="R1754" s="58"/>
      <c r="S1754" s="59"/>
    </row>
    <row r="1755" spans="14:19" x14ac:dyDescent="0.2">
      <c r="N1755" s="54"/>
      <c r="O1755" s="55"/>
      <c r="P1755" s="56"/>
      <c r="Q1755" s="57"/>
      <c r="R1755" s="58"/>
      <c r="S1755" s="59"/>
    </row>
  </sheetData>
  <sortState ref="A2:AP304">
    <sortCondition ref="C2:C304"/>
    <sortCondition ref="D2:D304"/>
  </sortState>
  <conditionalFormatting sqref="J1:J5 J13:J1048576">
    <cfRule type="cellIs" dxfId="55" priority="120" operator="equal">
      <formula>"Fellowship"</formula>
    </cfRule>
    <cfRule type="cellIs" dxfId="54" priority="121" operator="equal">
      <formula>"Neutral"</formula>
    </cfRule>
    <cfRule type="cellIs" dxfId="53" priority="122" operator="equal">
      <formula>"Baggins"</formula>
    </cfRule>
    <cfRule type="cellIs" dxfId="52" priority="123" operator="equal">
      <formula>"Lore"</formula>
    </cfRule>
    <cfRule type="cellIs" dxfId="51" priority="124" operator="equal">
      <formula>"Spirit"</formula>
    </cfRule>
    <cfRule type="cellIs" dxfId="50" priority="125" operator="equal">
      <formula>"Tactics"</formula>
    </cfRule>
    <cfRule type="cellIs" dxfId="49" priority="126" operator="equal">
      <formula>"Leadership"</formula>
    </cfRule>
  </conditionalFormatting>
  <conditionalFormatting sqref="AB1">
    <cfRule type="cellIs" dxfId="48" priority="92" operator="equal">
      <formula>"Fellowship"</formula>
    </cfRule>
    <cfRule type="cellIs" dxfId="47" priority="93" operator="equal">
      <formula>"Neutral"</formula>
    </cfRule>
    <cfRule type="cellIs" dxfId="46" priority="94" operator="equal">
      <formula>"Baggins"</formula>
    </cfRule>
    <cfRule type="cellIs" dxfId="45" priority="95" operator="equal">
      <formula>"Lore"</formula>
    </cfRule>
    <cfRule type="cellIs" dxfId="44" priority="96" operator="equal">
      <formula>"Spirit"</formula>
    </cfRule>
    <cfRule type="cellIs" dxfId="43" priority="97" operator="equal">
      <formula>"Tactics"</formula>
    </cfRule>
    <cfRule type="cellIs" dxfId="42" priority="98" operator="equal">
      <formula>"Leadership"</formula>
    </cfRule>
  </conditionalFormatting>
  <conditionalFormatting sqref="AB1">
    <cfRule type="cellIs" dxfId="41" priority="85" operator="equal">
      <formula>"Fellowship"</formula>
    </cfRule>
    <cfRule type="cellIs" dxfId="40" priority="86" operator="equal">
      <formula>"Neutral"</formula>
    </cfRule>
    <cfRule type="cellIs" dxfId="39" priority="87" operator="equal">
      <formula>"Baggins"</formula>
    </cfRule>
    <cfRule type="cellIs" dxfId="38" priority="88" operator="equal">
      <formula>"Lore"</formula>
    </cfRule>
    <cfRule type="cellIs" dxfId="37" priority="89" operator="equal">
      <formula>"Spirit"</formula>
    </cfRule>
    <cfRule type="cellIs" dxfId="36" priority="90" operator="equal">
      <formula>"Tactics"</formula>
    </cfRule>
    <cfRule type="cellIs" dxfId="35" priority="91" operator="equal">
      <formula>"Leadership"</formula>
    </cfRule>
  </conditionalFormatting>
  <conditionalFormatting sqref="J6">
    <cfRule type="cellIs" dxfId="34" priority="43" operator="equal">
      <formula>"Fellowship"</formula>
    </cfRule>
    <cfRule type="cellIs" dxfId="33" priority="44" operator="equal">
      <formula>"Neutral"</formula>
    </cfRule>
    <cfRule type="cellIs" dxfId="32" priority="45" operator="equal">
      <formula>"Baggins"</formula>
    </cfRule>
    <cfRule type="cellIs" dxfId="31" priority="46" operator="equal">
      <formula>"Lore"</formula>
    </cfRule>
    <cfRule type="cellIs" dxfId="30" priority="47" operator="equal">
      <formula>"Spirit"</formula>
    </cfRule>
    <cfRule type="cellIs" dxfId="29" priority="48" operator="equal">
      <formula>"Tactics"</formula>
    </cfRule>
    <cfRule type="cellIs" dxfId="28" priority="49" operator="equal">
      <formula>"Leadership"</formula>
    </cfRule>
  </conditionalFormatting>
  <conditionalFormatting sqref="J7">
    <cfRule type="cellIs" dxfId="27" priority="36" operator="equal">
      <formula>"Fellowship"</formula>
    </cfRule>
    <cfRule type="cellIs" dxfId="26" priority="37" operator="equal">
      <formula>"Neutral"</formula>
    </cfRule>
    <cfRule type="cellIs" dxfId="25" priority="38" operator="equal">
      <formula>"Baggins"</formula>
    </cfRule>
    <cfRule type="cellIs" dxfId="24" priority="39" operator="equal">
      <formula>"Lore"</formula>
    </cfRule>
    <cfRule type="cellIs" dxfId="23" priority="40" operator="equal">
      <formula>"Spirit"</formula>
    </cfRule>
    <cfRule type="cellIs" dxfId="22" priority="41" operator="equal">
      <formula>"Tactics"</formula>
    </cfRule>
    <cfRule type="cellIs" dxfId="21" priority="42" operator="equal">
      <formula>"Leadership"</formula>
    </cfRule>
  </conditionalFormatting>
  <conditionalFormatting sqref="J9">
    <cfRule type="cellIs" dxfId="20" priority="22" operator="equal">
      <formula>"Fellowship"</formula>
    </cfRule>
    <cfRule type="cellIs" dxfId="19" priority="23" operator="equal">
      <formula>"Neutral"</formula>
    </cfRule>
    <cfRule type="cellIs" dxfId="18" priority="24" operator="equal">
      <formula>"Baggins"</formula>
    </cfRule>
    <cfRule type="cellIs" dxfId="17" priority="25" operator="equal">
      <formula>"Lore"</formula>
    </cfRule>
    <cfRule type="cellIs" dxfId="16" priority="26" operator="equal">
      <formula>"Spirit"</formula>
    </cfRule>
    <cfRule type="cellIs" dxfId="15" priority="27" operator="equal">
      <formula>"Tactics"</formula>
    </cfRule>
    <cfRule type="cellIs" dxfId="14" priority="28" operator="equal">
      <formula>"Leadership"</formula>
    </cfRule>
  </conditionalFormatting>
  <conditionalFormatting sqref="J8">
    <cfRule type="cellIs" dxfId="13" priority="15" operator="equal">
      <formula>"Fellowship"</formula>
    </cfRule>
    <cfRule type="cellIs" dxfId="12" priority="16" operator="equal">
      <formula>"Neutral"</formula>
    </cfRule>
    <cfRule type="cellIs" dxfId="11" priority="17" operator="equal">
      <formula>"Baggins"</formula>
    </cfRule>
    <cfRule type="cellIs" dxfId="10" priority="18" operator="equal">
      <formula>"Lore"</formula>
    </cfRule>
    <cfRule type="cellIs" dxfId="9" priority="19" operator="equal">
      <formula>"Spirit"</formula>
    </cfRule>
    <cfRule type="cellIs" dxfId="8" priority="20" operator="equal">
      <formula>"Tactics"</formula>
    </cfRule>
    <cfRule type="cellIs" dxfId="7" priority="21" operator="equal">
      <formula>"Leadership"</formula>
    </cfRule>
  </conditionalFormatting>
  <conditionalFormatting sqref="J10:J12">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XML">
                <anchor moveWithCells="1" sizeWithCells="1">
                  <from>
                    <xdr:col>0</xdr:col>
                    <xdr:colOff>571500</xdr:colOff>
                    <xdr:row>0</xdr:row>
                    <xdr:rowOff>190500</xdr:rowOff>
                  </from>
                  <to>
                    <xdr:col>0</xdr:col>
                    <xdr:colOff>1647825</xdr:colOff>
                    <xdr:row>0</xdr:row>
                    <xdr:rowOff>552450</xdr:rowOff>
                  </to>
                </anchor>
              </controlPr>
            </control>
          </mc:Choice>
        </mc:AlternateContent>
        <mc:AlternateContent xmlns:mc="http://schemas.openxmlformats.org/markup-compatibility/2006">
          <mc:Choice Requires="x14">
            <control shapeId="4098" r:id="rId5" name="Button 2">
              <controlPr defaultSize="0" print="0" autoFill="0" autoPict="0" macro="[0]!SaveXML">
                <anchor moveWithCells="1" sizeWithCells="1">
                  <from>
                    <xdr:col>1</xdr:col>
                    <xdr:colOff>457200</xdr:colOff>
                    <xdr:row>0</xdr:row>
                    <xdr:rowOff>171450</xdr:rowOff>
                  </from>
                  <to>
                    <xdr:col>1</xdr:col>
                    <xdr:colOff>1533525</xdr:colOff>
                    <xdr:row>0</xdr:row>
                    <xdr:rowOff>533400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C12"/>
  <sheetViews>
    <sheetView showGridLines="0" showRowColHeaders="0" workbookViewId="0">
      <selection activeCell="C6" sqref="C6"/>
    </sheetView>
  </sheetViews>
  <sheetFormatPr defaultRowHeight="15" x14ac:dyDescent="0.25"/>
  <cols>
    <col min="2" max="2" width="4.85546875" bestFit="1" customWidth="1"/>
    <col min="3" max="3" width="12.140625" bestFit="1" customWidth="1"/>
  </cols>
  <sheetData>
    <row r="2" spans="2:3" x14ac:dyDescent="0.25">
      <c r="B2" s="16" t="s">
        <v>58</v>
      </c>
      <c r="C2" t="s">
        <v>59</v>
      </c>
    </row>
    <row r="3" spans="2:3" x14ac:dyDescent="0.25">
      <c r="B3" s="6" t="s">
        <v>60</v>
      </c>
      <c r="C3" t="s">
        <v>61</v>
      </c>
    </row>
    <row r="4" spans="2:3" x14ac:dyDescent="0.25">
      <c r="B4" s="16" t="s">
        <v>62</v>
      </c>
      <c r="C4" t="s">
        <v>63</v>
      </c>
    </row>
    <row r="5" spans="2:3" x14ac:dyDescent="0.25">
      <c r="B5" s="16" t="s">
        <v>64</v>
      </c>
      <c r="C5" t="s">
        <v>65</v>
      </c>
    </row>
    <row r="6" spans="2:3" x14ac:dyDescent="0.25">
      <c r="B6" s="16" t="s">
        <v>66</v>
      </c>
      <c r="C6" t="s">
        <v>67</v>
      </c>
    </row>
    <row r="7" spans="2:3" x14ac:dyDescent="0.25">
      <c r="B7" s="16" t="s">
        <v>68</v>
      </c>
      <c r="C7" t="s">
        <v>69</v>
      </c>
    </row>
    <row r="8" spans="2:3" x14ac:dyDescent="0.25">
      <c r="B8" s="16" t="s">
        <v>70</v>
      </c>
      <c r="C8" t="s">
        <v>71</v>
      </c>
    </row>
    <row r="9" spans="2:3" x14ac:dyDescent="0.25">
      <c r="B9" s="16" t="s">
        <v>72</v>
      </c>
      <c r="C9" t="s">
        <v>73</v>
      </c>
    </row>
    <row r="10" spans="2:3" x14ac:dyDescent="0.25">
      <c r="B10" s="16" t="s">
        <v>74</v>
      </c>
      <c r="C10" t="s">
        <v>75</v>
      </c>
    </row>
    <row r="11" spans="2:3" x14ac:dyDescent="0.25">
      <c r="B11" s="16" t="s">
        <v>76</v>
      </c>
      <c r="C11" t="s">
        <v>77</v>
      </c>
    </row>
    <row r="12" spans="2:3" x14ac:dyDescent="0.25">
      <c r="B12" s="16" t="s">
        <v>35</v>
      </c>
      <c r="C12" t="s">
        <v>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Import</vt:lpstr>
      <vt:lpstr>IDS</vt:lpstr>
      <vt:lpstr>Imported Data</vt:lpstr>
      <vt:lpstr>Sets</vt:lpstr>
      <vt:lpstr>Card Data</vt:lpstr>
      <vt:lpstr>Special Characters</vt:lpstr>
      <vt:lpstr>GameGUID</vt:lpstr>
      <vt:lpstr>GameVersion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Tom Howard</cp:lastModifiedBy>
  <dcterms:created xsi:type="dcterms:W3CDTF">2014-06-30T14:06:39Z</dcterms:created>
  <dcterms:modified xsi:type="dcterms:W3CDTF">2016-05-08T18:17:13Z</dcterms:modified>
</cp:coreProperties>
</file>